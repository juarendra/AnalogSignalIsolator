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bf097e87544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817ae3bc5e046d0"/>
    <x:sheet xmlns:r="http://schemas.openxmlformats.org/officeDocument/2006/relationships" name="Design Inputs" sheetId="2" r:id="Rc8234364d09840bb"/>
    <x:sheet xmlns:r="http://schemas.openxmlformats.org/officeDocument/2006/relationships" name="Calculations" sheetId="3" r:id="R4706bf3ec7f04fbe"/>
    <x:sheet xmlns:r="http://schemas.openxmlformats.org/officeDocument/2006/relationships" name="Mode Summary" sheetId="4" r:id="R9e3b7cdb5df74046"/>
    <x:sheet xmlns:r="http://schemas.openxmlformats.org/officeDocument/2006/relationships" name="BOM" sheetId="5" r:id="Re5aa63afd87242dc"/>
    <x:sheet xmlns:r="http://schemas.openxmlformats.org/officeDocument/2006/relationships" name="BOM LCSC" sheetId="6" r:id="Re42b054c444a428b"/>
    <x:sheet xmlns:r="http://schemas.openxmlformats.org/officeDocument/2006/relationships" name="Sourcing Notes" sheetId="7" r:id="Ra3a189bbe9024d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xfId="0" applyNumberFormat="1" applyFont="1" applyFill="1" applyBorder="0"/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0" fillId="6" xfId="0" applyNumberFormat="1" applyFont="1" applyFill="1" applyBorder="0" applyAlignment="1">
      <x:alignment vertical="top" wrapText="1"/>
    </x:xf>
    <x:xf numFmtId="200" fontId="0" fillId="6" xfId="0" applyNumberFormat="1" applyFont="1" applyFill="1" applyBorder="0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/>
    </x:xf>
    <x:xf numFmtId="0" fontId="2" fillId="3" xfId="0" applyNumberFormat="1" applyFont="1" applyFill="1" applyBorder="0"/>
    <x:xf numFmtId="0" fontId="0" fillId="4" xfId="0" applyNumberFormat="1" applyFont="1" applyFill="1" applyBorder="0" applyAlignment="1">
      <x:alignment vertical="top" wrapText="1"/>
    </x:xf>
    <x:xf numFmtId="200" fontId="0" fillId="4" xfId="0" applyNumberFormat="1" applyFont="1" applyFill="1" applyBorder="0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xfId="0" applyNumberFormat="1" applyFont="1" applyFill="1" applyBorder="0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201" fontId="0" fillId="0" xfId="0" applyNumberFormat="1" applyFont="1" applyFill="1" applyBorder="0"/>
  </x:cellXfs>
  <x:cellStyles count="1">
    <x:cellStyle name="Normal" xfId="0"/>
  </x:cellStyles>
  <x:dxfs count="4">
    <x:dxf>
      <x:fill>
        <x:patternFill>
          <x:bgColor rgb="FFE2F0D9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abb7cdcd3d455e" /><Relationship Type="http://schemas.openxmlformats.org/officeDocument/2006/relationships/theme" Target="/xl/theme/theme1.xml" Id="Rd9c8b99adcdb4cfa" /><Relationship Type="http://schemas.openxmlformats.org/officeDocument/2006/relationships/sharedStrings" Target="/xl/sharedStrings.xml" Id="R35011f2f3cdb495c" /><Relationship Type="http://schemas.openxmlformats.org/officeDocument/2006/relationships/worksheet" Target="/xl/worksheets/sheet1.xml" Id="R8817ae3bc5e046d0" /><Relationship Type="http://schemas.openxmlformats.org/officeDocument/2006/relationships/worksheet" Target="/xl/worksheets/sheet2.xml" Id="Rc8234364d09840bb" /><Relationship Type="http://schemas.openxmlformats.org/officeDocument/2006/relationships/worksheet" Target="/xl/worksheets/sheet3.xml" Id="R4706bf3ec7f04fbe" /><Relationship Type="http://schemas.openxmlformats.org/officeDocument/2006/relationships/worksheet" Target="/xl/worksheets/sheet4.xml" Id="R9e3b7cdb5df74046" /><Relationship Type="http://schemas.openxmlformats.org/officeDocument/2006/relationships/worksheet" Target="/xl/worksheets/sheet5.xml" Id="Re5aa63afd87242dc" /><Relationship Type="http://schemas.openxmlformats.org/officeDocument/2006/relationships/worksheet" Target="/xl/worksheets/sheet6.xml" Id="Re42b054c444a428b" /><Relationship Type="http://schemas.openxmlformats.org/officeDocument/2006/relationships/worksheet" Target="/xl/worksheets/sheet7.xml" Id="Ra3a189bbe9024df5" /></Relationships>
</file>

<file path=xl/tables/table1.xml><?xml version="1.0" encoding="utf-8"?>
<x:table xmlns:x="http://schemas.openxmlformats.org/spreadsheetml/2006/main" id="1" name="DesignInputs" displayName="DesignInputs" ref="A1:F19" headerRowCount="1">
  <x:tableColumns count="6">
    <x:tableColumn id="1" name="Parameter"/>
    <x:tableColumn id="2" name="Symbol"/>
    <x:tableColumn id="3" name="Value"/>
    <x:tableColumn id="4" name="Unit"/>
    <x:tableColumn id="5" name="Editable?"/>
    <x:tableColumn id="6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CalcTable" displayName="CalcTable" ref="A1:F10" headerRowCount="1">
  <x:tableColumns count="6">
    <x:tableColumn id="1" name="Calculation"/>
    <x:tableColumn id="2" name="Formula result"/>
    <x:tableColumn id="3" name="Unit"/>
    <x:tableColumn id="4" name="Mode 24"/>
    <x:tableColumn id="5" name="Mode 33"/>
    <x:tableColumn id="6" name="Mode 50"/>
  </x:tableColumns>
  <x:tableStyleInfo name="TableStyleMedium2" showRowStripes="1"/>
</x:table>
</file>

<file path=xl/tables/table3.xml><?xml version="1.0" encoding="utf-8"?>
<x:table xmlns:x="http://schemas.openxmlformats.org/spreadsheetml/2006/main" id="3" name="ModeSummary" displayName="ModeSummary" ref="A1:E4" headerRowCount="1">
  <x:tableColumns count="5">
    <x:tableColumn id="1" name="Mode"/>
    <x:tableColumn id="2" name="Target output FS"/>
    <x:tableColumn id="3" name="Nominal gain"/>
    <x:tableColumn id="4" name="Nominal R2"/>
    <x:tableColumn id="5" name="Typical use"/>
  </x:tableColumns>
  <x:tableStyleInfo name="TableStyleMedium2" showRowStripes="1"/>
</x:table>
</file>

<file path=xl/tables/table4.xml><?xml version="1.0" encoding="utf-8"?>
<x:table xmlns:x="http://schemas.openxmlformats.org/spreadsheetml/2006/main" id="4" name="BOM" displayName="BOM" ref="A1:G19" headerRowCount="1">
  <x:tableColumns count="7">
    <x:tableColumn id="1" name="Item"/>
    <x:tableColumn id="2" name="RefDes"/>
    <x:tableColumn id="3" name="Qty"/>
    <x:tableColumn id="4" name="Description"/>
    <x:tableColumn id="5" name="Preferred part/value"/>
    <x:tableColumn id="6" name="Status"/>
    <x:tableColumn id="7" name="Note"/>
  </x:tableColumns>
  <x:tableStyleInfo name="TableStyleMedium2" showRowStripes="1"/>
</x:table>
</file>

<file path=xl/tables/table5.xml><?xml version="1.0" encoding="utf-8"?>
<x:table xmlns:x="http://schemas.openxmlformats.org/spreadsheetml/2006/main" id="5" name="BOMLCSCTable" displayName="BOMLCSCTable" ref="A1:O26" headerRowCount="1">
  <x:tableColumns count="15">
    <x:tableColumn id="1" name="Item"/>
    <x:tableColumn id="2" name="RefDes"/>
    <x:tableColumn id="3" name="Qty"/>
    <x:tableColumn id="4" name="Function"/>
    <x:tableColumn id="5" name="Manufacturer"/>
    <x:tableColumn id="6" name="MPN"/>
    <x:tableColumn id="7" name="LCSC Part #"/>
    <x:tableColumn id="8" name="Package"/>
    <x:tableColumn id="9" name="Value / Rating"/>
    <x:tableColumn id="10" name="Fit"/>
    <x:tableColumn id="11" name="Availability note"/>
    <x:tableColumn id="12" name="Alternate"/>
    <x:tableColumn id="13" name="Alternate LCSC"/>
    <x:tableColumn id="14" name="Source URL"/>
    <x:tableColumn id="15" name="Engineering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0e7a3643f046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6d58c5844247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69a11b4b0143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b955b4d86c4f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4a4b73fc6a4720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2" hidden="0" customWidth="1"/>
  </x:cols>
  <x:sheetData>
    <x:row r="1">
      <x:c r="A1" s="6" t="str">
        <x:v>HCNR201 Selectable Output Analog Isolator
BOM and Calculations — Rev B</x:v>
      </x:c>
      <x:c r="B1" s="6"/>
      <x:c r="C1" s="6"/>
      <x:c r="D1" s="6"/>
      <x:c r="E1" s="6"/>
      <x:c r="F1" s="6"/>
      <x:c r="G1" s="6"/>
      <x:c r="H1" s="6"/>
    </x:row>
    <x:row r="2">
      <x:c r="A2" s="6"/>
      <x:c r="B2" s="6"/>
      <x:c r="C2" s="6"/>
      <x:c r="D2" s="6"/>
      <x:c r="E2" s="6"/>
      <x:c r="F2" s="6"/>
      <x:c r="G2" s="6"/>
      <x:c r="H2" s="6"/>
    </x:row>
    <x:row r="4">
      <x:c r="A4" s="13" t="str">
        <x:v>Document</x:v>
      </x:c>
      <x:c r="B4" s="17" t="str">
        <x:v>06_BOM_and_Calculations_LCSC.xlsx</x:v>
      </x:c>
    </x:row>
    <x:row r="5">
      <x:c r="A5" s="13" t="str">
        <x:v>Revision</x:v>
      </x:c>
      <x:c r="B5" s="17" t="str">
        <x:v>Rev B2 - PMOS + ferrite bead only</x:v>
      </x:c>
    </x:row>
    <x:row r="6">
      <x:c r="A6" s="13" t="str">
        <x:v>Input range</x:v>
      </x:c>
      <x:c r="B6" s="17" t="str">
        <x:v>0–5 V conditioned sensor</x:v>
      </x:c>
    </x:row>
    <x:row r="7">
      <x:c r="A7" s="13" t="str">
        <x:v>Output modes</x:v>
      </x:c>
      <x:c r="B7" s="17" t="str">
        <x:v>2.4 V / 3.0 V / 4.5 V</x:v>
      </x:c>
    </x:row>
    <x:row r="8">
      <x:c r="A8" s="13" t="str">
        <x:v>Core parts</x:v>
      </x:c>
      <x:c r="B8" s="17" t="str">
        <x:v>HCNR201-500E, OPA388, regulated isolated 5V DC/DC</x:v>
      </x:c>
    </x:row>
    <x:row r="9">
      <x:c r="A9" s="13" t="str">
        <x:v>Calibration</x:v>
      </x:c>
      <x:c r="B9" s="17" t="str">
        <x:v>Recommended: fixed resistors + software two-point calibration</x:v>
      </x:c>
    </x:row>
    <x:row r="10">
      <x:c r="A10" s="13" t="str">
        <x:v>Warning</x:v>
      </x:c>
      <x:c r="B10" s="17" t="str">
        <x:v>GND_ISO and GND_HOST must never be connected</x:v>
      </x:c>
    </x:row>
    <x:row r="11">
      <x:c r="A11" s="33" t="str">
        <x:v>Preferred op-amp</x:v>
      </x:c>
      <x:c r="B11" s="35" t="str">
        <x:v>TI OPA317IDBVR — LCSC C2058367</x:v>
      </x:c>
    </x:row>
    <x:row r="12">
      <x:c r="A12" s="33" t="str">
        <x:v>Preferred isolated DC/DC</x:v>
      </x:c>
      <x:c r="B12" s="35" t="str">
        <x:v>YLPTEC IF0505S-1WR3 — LCSC C5369637</x:v>
      </x:c>
    </x:row>
    <x:row r="13">
      <x:c r="A13" s="33" t="str">
        <x:v>Sourcing snapshot</x:v>
      </x:c>
      <x:c r="B13" s="35" t="str">
        <x:v>Listings checked 2026-07-15; recheck stock and price before ordering</x:v>
      </x:c>
    </x:row>
    <x:row r="14">
      <x:c r="A14" s="51" t="str">
        <x:v>Power protection</x:v>
      </x:c>
      <x:c r="B14" s="35" t="str">
        <x:v>AO3401A P-MOSFET + 100 kΩ gate pull-down</x:v>
      </x:c>
    </x:row>
    <x:row r="15">
      <x:c r="A15" s="51" t="str">
        <x:v>Noise filter</x:v>
      </x:c>
      <x:c r="B15" s="35" t="str">
        <x:v>FB1 ferrite bead, 600 Ω @ 100 MHz class</x:v>
      </x:c>
    </x:row>
    <x:row r="16">
      <x:c r="A16" s="51" t="str">
        <x:v>Not fitted</x:v>
      </x:c>
      <x:c r="B16" s="35" t="str">
        <x:v>PPTC and input TVS</x:v>
      </x:c>
    </x:row>
    <x:row r="17">
      <x:c r="A17" s="51" t="str">
        <x:v>System assumption</x:v>
      </x:c>
      <x:c r="B17" s="35" t="str">
        <x:v>Upstream 5 V source is regulated and current-limited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4" hidden="0" customWidth="1"/>
    <x:col min="4" max="4" width="10" hidden="0" customWidth="1"/>
    <x:col min="5" max="5" width="12" hidden="0" customWidth="1"/>
    <x:col min="6" max="6" width="42" hidden="0" customWidth="1"/>
  </x:cols>
  <x:sheetData>
    <x:row r="1">
      <x:c r="A1" s="20" t="str">
        <x:v>Parameter</x:v>
      </x:c>
      <x:c r="B1" s="20" t="str">
        <x:v>Symbol</x:v>
      </x:c>
      <x:c r="C1" s="20" t="str">
        <x:v>Value</x:v>
      </x:c>
      <x:c r="D1" s="20" t="str">
        <x:v>Unit</x:v>
      </x:c>
      <x:c r="E1" s="20" t="str">
        <x:v>Editable?</x:v>
      </x:c>
      <x:c r="F1" s="20" t="str">
        <x:v>Note</x:v>
      </x:c>
    </x:row>
    <x:row r="2">
      <x:c r="A2" s="17" t="str">
        <x:v>Max sensor input</x:v>
      </x:c>
      <x:c r="B2" s="17" t="str">
        <x:v>VIN_FS</x:v>
      </x:c>
      <x:c r="C2" s="23" t="n">
        <x:v>5</x:v>
      </x:c>
      <x:c r="D2" s="17" t="str">
        <x:v>V</x:v>
      </x:c>
      <x:c r="E2" s="17" t="str">
        <x:v>Yes</x:v>
      </x:c>
      <x:c r="F2" s="17" t="str">
        <x:v>Conditioned sensor output</x:v>
      </x:c>
    </x:row>
    <x:row r="3">
      <x:c r="A3" s="17" t="str">
        <x:v>R1 protection</x:v>
      </x:c>
      <x:c r="B3" s="17" t="str">
        <x:v>R1A</x:v>
      </x:c>
      <x:c r="C3" s="23" t="n">
        <x:v>4700</x:v>
      </x:c>
      <x:c r="D3" s="17" t="str">
        <x:v>ohm</x:v>
      </x:c>
      <x:c r="E3" s="17" t="str">
        <x:v>Yes</x:v>
      </x:c>
      <x:c r="F3" s="17" t="str">
        <x:v>Series protection resistor</x:v>
      </x:c>
    </x:row>
    <x:row r="4">
      <x:c r="A4" s="17" t="str">
        <x:v>R1 precision leg</x:v>
      </x:c>
      <x:c r="B4" s="17" t="str">
        <x:v>R1B</x:v>
      </x:c>
      <x:c r="C4" s="23" t="n">
        <x:v>164000</x:v>
      </x:c>
      <x:c r="D4" s="17" t="str">
        <x:v>ohm</x:v>
      </x:c>
      <x:c r="E4" s="17" t="str">
        <x:v>Yes</x:v>
      </x:c>
      <x:c r="F4" s="17" t="str">
        <x:v>Thin-film 0.1% recommended</x:v>
      </x:c>
    </x:row>
    <x:row r="5">
      <x:c r="A5" s="17" t="str">
        <x:v>K3 minimum design corner</x:v>
      </x:c>
      <x:c r="B5" s="17" t="str">
        <x:v>K3_MIN</x:v>
      </x:c>
      <x:c r="C5" s="23" t="n">
        <x:v>0.93</x:v>
      </x:c>
      <x:c r="D5" s="17" t="str">
        <x:v>V/V</x:v>
      </x:c>
      <x:c r="E5" s="17" t="str">
        <x:v>Yes</x:v>
      </x:c>
      <x:c r="F5" s="17" t="str">
        <x:v>Derated corner</x:v>
      </x:c>
    </x:row>
    <x:row r="6">
      <x:c r="A6" s="17" t="str">
        <x:v>K3 nominal</x:v>
      </x:c>
      <x:c r="B6" s="17" t="str">
        <x:v>K3_NOM</x:v>
      </x:c>
      <x:c r="C6" s="23" t="n">
        <x:v>1</x:v>
      </x:c>
      <x:c r="D6" s="17" t="str">
        <x:v>V/V</x:v>
      </x:c>
      <x:c r="E6" s="17" t="str">
        <x:v>No</x:v>
      </x:c>
      <x:c r="F6" s="17" t="str">
        <x:v>Nominal</x:v>
      </x:c>
    </x:row>
    <x:row r="7">
      <x:c r="A7" s="17" t="str">
        <x:v>K3 maximum design corner</x:v>
      </x:c>
      <x:c r="B7" s="17" t="str">
        <x:v>K3_MAX</x:v>
      </x:c>
      <x:c r="C7" s="23" t="n">
        <x:v>1.07</x:v>
      </x:c>
      <x:c r="D7" s="17" t="str">
        <x:v>V/V</x:v>
      </x:c>
      <x:c r="E7" s="17" t="str">
        <x:v>Yes</x:v>
      </x:c>
      <x:c r="F7" s="17" t="str">
        <x:v>Derated corner</x:v>
      </x:c>
    </x:row>
    <x:row r="8">
      <x:c r="A8" s="17" t="str">
        <x:v>R2 mode 24</x:v>
      </x:c>
      <x:c r="B8" s="17" t="str">
        <x:v>R2_24</x:v>
      </x:c>
      <x:c r="C8" s="23" t="n">
        <x:v>80600</x:v>
      </x:c>
      <x:c r="D8" s="17" t="str">
        <x:v>ohm</x:v>
      </x:c>
      <x:c r="E8" s="17" t="str">
        <x:v>Yes</x:v>
      </x:c>
      <x:c r="F8" s="17" t="str">
        <x:v>Nominal 2.4 V output</x:v>
      </x:c>
    </x:row>
    <x:row r="9">
      <x:c r="A9" s="17" t="str">
        <x:v>R2 mode 33</x:v>
      </x:c>
      <x:c r="B9" s="17" t="str">
        <x:v>R2_33</x:v>
      </x:c>
      <x:c r="C9" s="23" t="n">
        <x:v>101000</x:v>
      </x:c>
      <x:c r="D9" s="17" t="str">
        <x:v>ohm</x:v>
      </x:c>
      <x:c r="E9" s="17" t="str">
        <x:v>Yes</x:v>
      </x:c>
      <x:c r="F9" s="17" t="str">
        <x:v>Nominal 3.0 V output</x:v>
      </x:c>
    </x:row>
    <x:row r="10">
      <x:c r="A10" s="17" t="str">
        <x:v>R2 mode 50</x:v>
      </x:c>
      <x:c r="B10" s="17" t="str">
        <x:v>R2_50</x:v>
      </x:c>
      <x:c r="C10" s="23" t="n">
        <x:v>151800</x:v>
      </x:c>
      <x:c r="D10" s="17" t="str">
        <x:v>ohm</x:v>
      </x:c>
      <x:c r="E10" s="17" t="str">
        <x:v>Yes</x:v>
      </x:c>
      <x:c r="F10" s="17" t="str">
        <x:v>Nominal 4.5 V output</x:v>
      </x:c>
    </x:row>
    <x:row r="11">
      <x:c r="A11" s="17" t="str">
        <x:v>Input capacitor</x:v>
      </x:c>
      <x:c r="B11" s="17" t="str">
        <x:v>CIN</x:v>
      </x:c>
      <x:c r="C11" s="23" t="n">
        <x:v>1e-7</x:v>
      </x:c>
      <x:c r="D11" s="17" t="str">
        <x:v>F</x:v>
      </x:c>
      <x:c r="E11" s="17" t="str">
        <x:v>Yes</x:v>
      </x:c>
      <x:c r="F11" s="17" t="str">
        <x:v>100 nF</x:v>
      </x:c>
    </x:row>
    <x:row r="12">
      <x:c r="A12" s="17" t="str">
        <x:v>Compensation capacitor input</x:v>
      </x:c>
      <x:c r="B12" s="17" t="str">
        <x:v>CC1</x:v>
      </x:c>
      <x:c r="C12" s="23" t="n">
        <x:v>1e-9</x:v>
      </x:c>
      <x:c r="D12" s="17" t="str">
        <x:v>F</x:v>
      </x:c>
      <x:c r="E12" s="17" t="str">
        <x:v>Yes</x:v>
      </x:c>
      <x:c r="F12" s="17" t="str">
        <x:v>1 nF C0G</x:v>
      </x:c>
    </x:row>
    <x:row r="13">
      <x:c r="A13" s="17" t="str">
        <x:v>Compensation capacitor output</x:v>
      </x:c>
      <x:c r="B13" s="17" t="str">
        <x:v>CC2</x:v>
      </x:c>
      <x:c r="C13" s="23" t="n">
        <x:v>2.2e-9</x:v>
      </x:c>
      <x:c r="D13" s="17" t="str">
        <x:v>F</x:v>
      </x:c>
      <x:c r="E13" s="17" t="str">
        <x:v>Yes</x:v>
      </x:c>
      <x:c r="F13" s="17" t="str">
        <x:v>2.2 nF C0G</x:v>
      </x:c>
    </x:row>
    <x:row r="14">
      <x:c r="A14" s="17" t="str">
        <x:v>Output series resistor</x:v>
      </x:c>
      <x:c r="B14" s="17" t="str">
        <x:v>ROUT</x:v>
      </x:c>
      <x:c r="C14" s="23" t="n">
        <x:v>1000</x:v>
      </x:c>
      <x:c r="D14" s="17" t="str">
        <x:v>ohm</x:v>
      </x:c>
      <x:c r="E14" s="17" t="str">
        <x:v>Yes</x:v>
      </x:c>
      <x:c r="F14" s="17" t="str">
        <x:v>1 kΩ</x:v>
      </x:c>
    </x:row>
    <x:row r="15">
      <x:c r="A15" s="17" t="str">
        <x:v>Output filter capacitor</x:v>
      </x:c>
      <x:c r="B15" s="17" t="str">
        <x:v>COUT</x:v>
      </x:c>
      <x:c r="C15" s="23" t="n">
        <x:v>1e-7</x:v>
      </x:c>
      <x:c r="D15" s="17" t="str">
        <x:v>F</x:v>
      </x:c>
      <x:c r="E15" s="17" t="str">
        <x:v>Yes</x:v>
      </x:c>
      <x:c r="F15" s="17" t="str">
        <x:v>100 nF</x:v>
      </x:c>
    </x:row>
    <x:row r="16">
      <x:c r="A16" s="17" t="str">
        <x:v>Preload resistor</x:v>
      </x:c>
      <x:c r="B16" s="17" t="str">
        <x:v>RPL1</x:v>
      </x:c>
      <x:c r="C16" s="23" t="n">
        <x:v>249</x:v>
      </x:c>
      <x:c r="D16" s="17" t="str">
        <x:v>ohm</x:v>
      </x:c>
      <x:c r="E16" s="17" t="str">
        <x:v>Yes</x:v>
      </x:c>
      <x:c r="F16" s="17" t="str">
        <x:v>Needed for IF0505S minimum load</x:v>
      </x:c>
    </x:row>
    <x:row r="17">
      <x:c r="A17" s="17" t="str">
        <x:v>Isolated converter max current</x:v>
      </x:c>
      <x:c r="B17" s="17" t="str">
        <x:v>IDC_MAX</x:v>
      </x:c>
      <x:c r="C17" s="23" t="n">
        <x:v>0.2</x:v>
      </x:c>
      <x:c r="D17" s="17" t="str">
        <x:v>A</x:v>
      </x:c>
      <x:c r="E17" s="17" t="str">
        <x:v>No</x:v>
      </x:c>
      <x:c r="F17" s="17" t="str">
        <x:v>IF0505S-1WR3</x:v>
      </x:c>
    </x:row>
    <x:row r="18">
      <x:c r="A18" s="17" t="str">
        <x:v>Per-opamp max supply current</x:v>
      </x:c>
      <x:c r="B18" s="17" t="str">
        <x:v>IQ_OPA</x:v>
      </x:c>
      <x:c r="C18" s="23" t="n">
        <x:v>0.000035</x:v>
      </x:c>
      <x:c r="D18" s="17" t="str">
        <x:v>A</x:v>
      </x:c>
      <x:c r="E18" s="17" t="str">
        <x:v>No</x:v>
      </x:c>
      <x:c r="F18" s="17" t="str">
        <x:v>OPA317 maximum supply current used for design budget</x:v>
      </x:c>
    </x:row>
    <x:row r="19">
      <x:c r="A19" s="17" t="str">
        <x:v>Reserve current</x:v>
      </x:c>
      <x:c r="B19" s="17" t="str">
        <x:v>I_RESERVE</x:v>
      </x:c>
      <x:c r="C19" s="23" t="n">
        <x:v>0.015</x:v>
      </x:c>
      <x:c r="D19" s="17" t="str">
        <x:v>A</x:v>
      </x:c>
      <x:c r="E19" s="17" t="str">
        <x:v>Yes</x:v>
      </x:c>
      <x:c r="F19" s="17" t="str">
        <x:v>Design margin</x:v>
      </x:c>
    </x:row>
    <x:row r="20">
      <x:c r="A20" s="36" t="str">
        <x:v>Isolated output nominal</x:v>
      </x:c>
      <x:c r="B20" s="36" t="str">
        <x:v>VISO</x:v>
      </x:c>
      <x:c r="C20" s="38" t="n">
        <x:v>5</x:v>
      </x:c>
      <x:c r="D20" s="36" t="str">
        <x:v>V</x:v>
      </x:c>
      <x:c r="E20" s="36" t="str">
        <x:v>Yes</x:v>
      </x:c>
      <x:c r="F20" s="36" t="str">
        <x:v>Nominal regulated isolated rail</x:v>
      </x:c>
    </x:row>
    <x:row r="21">
      <x:c r="A21" s="36" t="str">
        <x:v>Estimated maximum LED current</x:v>
      </x:c>
      <x:c r="B21" s="36" t="str">
        <x:v>ILED_MAX</x:v>
      </x:c>
      <x:c r="C21" s="38" t="n">
        <x:v>0.0085</x:v>
      </x:c>
      <x:c r="D21" s="36" t="str">
        <x:v>A</x:v>
      </x:c>
      <x:c r="E21" s="36" t="str">
        <x:v>Yes</x:v>
      </x:c>
      <x:c r="F21" s="36" t="str">
        <x:v>Conservative HCNR201 LED budget</x:v>
      </x:c>
    </x:row>
  </x:sheetData>
  <x:pageMargins left="0.7" right="0.7" top="0.75" bottom="0.75" header="0.3" footer="0.3"/>
  <x:tableParts count="1">
    <x:tablePart xmlns:r="http://schemas.openxmlformats.org/officeDocument/2006/relationships" r:id="Re70e7a3643f046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27" t="str">
        <x:v>Calculation</x:v>
      </x:c>
      <x:c r="B1" s="27" t="str">
        <x:v>Formula result</x:v>
      </x:c>
      <x:c r="C1" s="27" t="str">
        <x:v>Unit</x:v>
      </x:c>
      <x:c r="D1" s="27" t="str">
        <x:v>Mode 24</x:v>
      </x:c>
      <x:c r="E1" s="27" t="str">
        <x:v>Mode 33</x:v>
      </x:c>
      <x:c r="F1" s="27" t="str">
        <x:v>Mode 50</x:v>
      </x:c>
    </x:row>
    <x:row r="2">
      <x:c r="A2" s="17" t="str">
        <x:v>R1 total</x:v>
      </x:c>
      <x:c r="B2" s="17" t="n">
        <x:f>SUM('Design Inputs'!C3:C4)</x:f>
        <x:v>168700</x:v>
      </x:c>
      <x:c r="C2" s="17" t="str">
        <x:v>ohm</x:v>
      </x:c>
      <x:c r="D2" s="17" t="n">
        <x:f>SUM('Design Inputs'!C3:C4)</x:f>
        <x:v>168700</x:v>
      </x:c>
      <x:c r="E2" s="17" t="n">
        <x:f>SUM('Design Inputs'!C3:C4)</x:f>
        <x:v>168700</x:v>
      </x:c>
      <x:c r="F2" s="17" t="n">
        <x:f>SUM('Design Inputs'!C3:C4)</x:f>
        <x:v>168700</x:v>
      </x:c>
    </x:row>
    <x:row r="3">
      <x:c r="A3" s="17" t="str">
        <x:v>Gain nominal</x:v>
      </x:c>
      <x:c r="B3" s="17" t="n">
        <x:f>'Design Inputs'!C8/B2</x:f>
        <x:v>0.47777119146413755</x:v>
      </x:c>
      <x:c r="C3" s="17" t="str">
        <x:v>V/V</x:v>
      </x:c>
      <x:c r="D3" s="17" t="n">
        <x:f>'Design Inputs'!C8/D2</x:f>
        <x:v>0.47777119146413755</x:v>
      </x:c>
      <x:c r="E3" s="17" t="n">
        <x:f>'Design Inputs'!C9/E2</x:f>
        <x:v>0.5986959098992294</x:v>
      </x:c>
      <x:c r="F3" s="17" t="n">
        <x:f>'Design Inputs'!C10/F2</x:f>
        <x:v>0.8998221695317131</x:v>
      </x:c>
    </x:row>
    <x:row r="4">
      <x:c r="A4" s="17" t="str">
        <x:v>VOUT at 5V, K3 nominal</x:v>
      </x:c>
      <x:c r="B4" s="17" t="n">
        <x:f>D4</x:f>
        <x:v>2.3888559573206876</x:v>
      </x:c>
      <x:c r="C4" s="17" t="str">
        <x:v>V</x:v>
      </x:c>
      <x:c r="D4" s="17" t="n">
        <x:f>D3*'Design Inputs'!C2*'Design Inputs'!C6</x:f>
        <x:v>2.3888559573206876</x:v>
      </x:c>
      <x:c r="E4" s="17" t="n">
        <x:f>E3*'Design Inputs'!C2*'Design Inputs'!C6</x:f>
        <x:v>2.993479549496147</x:v>
      </x:c>
      <x:c r="F4" s="17" t="n">
        <x:f>F3*'Design Inputs'!C2*'Design Inputs'!C6</x:f>
        <x:v>4.4991108476585655</x:v>
      </x:c>
    </x:row>
    <x:row r="5">
      <x:c r="A5" s="17" t="str">
        <x:v>VOUT at 5V, K3 min</x:v>
      </x:c>
      <x:c r="B5" s="17" t="n">
        <x:f>D5</x:f>
        <x:v>2.2216360403082396</x:v>
      </x:c>
      <x:c r="C5" s="17" t="str">
        <x:v>V</x:v>
      </x:c>
      <x:c r="D5" s="17" t="n">
        <x:f>D3*'Design Inputs'!C2*'Design Inputs'!C5</x:f>
        <x:v>2.2216360403082396</x:v>
      </x:c>
      <x:c r="E5" s="17" t="n">
        <x:f>E3*'Design Inputs'!C2*'Design Inputs'!C5</x:f>
        <x:v>2.783935981031417</x:v>
      </x:c>
      <x:c r="F5" s="17" t="n">
        <x:f>F3*'Design Inputs'!C2*'Design Inputs'!C5</x:f>
        <x:v>4.184173088322466</x:v>
      </x:c>
    </x:row>
    <x:row r="6">
      <x:c r="A6" s="17" t="str">
        <x:v>VOUT at 5V, K3 max</x:v>
      </x:c>
      <x:c r="B6" s="17" t="n">
        <x:f>D6</x:f>
        <x:v>2.556075874333136</x:v>
      </x:c>
      <x:c r="C6" s="17" t="str">
        <x:v>V</x:v>
      </x:c>
      <x:c r="D6" s="17" t="n">
        <x:f>D3*'Design Inputs'!C2*'Design Inputs'!C7</x:f>
        <x:v>2.556075874333136</x:v>
      </x:c>
      <x:c r="E6" s="17" t="n">
        <x:f>E3*'Design Inputs'!C2*'Design Inputs'!C7</x:f>
        <x:v>3.2030231179608775</x:v>
      </x:c>
      <x:c r="F6" s="17" t="n">
        <x:f>F3*'Design Inputs'!C2*'Design Inputs'!C7</x:f>
        <x:v>4.814048606994666</x:v>
      </x:c>
    </x:row>
    <x:row r="7">
      <x:c r="A7" s="17" t="str">
        <x:v>Input RC cutoff</x:v>
      </x:c>
      <x:c r="B7" s="17" t="n">
        <x:f>D7</x:f>
        <x:v>338.62753849339435</x:v>
      </x:c>
      <x:c r="C7" s="17" t="str">
        <x:v>Hz</x:v>
      </x:c>
      <x:c r="D7" s="17" t="n">
        <x:f>1/(2*PI()*'Design Inputs'!C3*'Design Inputs'!C11)</x:f>
        <x:v>338.62753849339435</x:v>
      </x:c>
      <x:c r="E7" s="17" t="n">
        <x:f>1/(2*PI()*'Design Inputs'!C3*'Design Inputs'!C11)</x:f>
        <x:v>338.62753849339435</x:v>
      </x:c>
      <x:c r="F7" s="17" t="n">
        <x:f>1/(2*PI()*'Design Inputs'!C3*'Design Inputs'!C11)</x:f>
        <x:v>338.62753849339435</x:v>
      </x:c>
    </x:row>
    <x:row r="8">
      <x:c r="A8" s="17" t="str">
        <x:v>Output comp pole</x:v>
      </x:c>
      <x:c r="B8" s="17" t="n">
        <x:f>D8</x:f>
        <x:v>897.5577661397211</x:v>
      </x:c>
      <x:c r="C8" s="17" t="str">
        <x:v>Hz</x:v>
      </x:c>
      <x:c r="D8" s="17" t="n">
        <x:f>1/(2*PI()*'Design Inputs'!C8*'Design Inputs'!C13)</x:f>
        <x:v>897.5577661397211</x:v>
      </x:c>
      <x:c r="E8" s="17" t="n">
        <x:f>1/(2*PI()*'Design Inputs'!C9*'Design Inputs'!C13)</x:f>
        <x:v>716.2688708006092</x:v>
      </x:c>
      <x:c r="F8" s="17" t="n">
        <x:f>1/(2*PI()*'Design Inputs'!C10*'Design Inputs'!C13)</x:f>
        <x:v>476.5688797816964</x:v>
      </x:c>
    </x:row>
    <x:row r="9">
      <x:c r="A9" s="17" t="str">
        <x:v>Preload current</x:v>
      </x:c>
      <x:c r="B9" s="17" t="n">
        <x:f>D9</x:f>
        <x:v>0.020080321285140562</x:v>
      </x:c>
      <x:c r="C9" s="17" t="str">
        <x:v>A</x:v>
      </x:c>
      <x:c r="D9" s="17" t="n">
        <x:f>'Design Inputs'!$C$20/'Design Inputs'!$C$16</x:f>
        <x:v>0.020080321285140562</x:v>
      </x:c>
      <x:c r="E9" s="17" t="n">
        <x:f>'Design Inputs'!$C$20/'Design Inputs'!$C$16</x:f>
        <x:v>0.020080321285140562</x:v>
      </x:c>
      <x:c r="F9" s="17" t="n">
        <x:f>'Design Inputs'!$C$20/'Design Inputs'!$C$16</x:f>
        <x:v>0.020080321285140562</x:v>
      </x:c>
    </x:row>
    <x:row r="10">
      <x:c r="A10" s="17" t="str">
        <x:v>Estimated sensor current budget</x:v>
      </x:c>
      <x:c r="B10" s="17" t="n">
        <x:f>D10</x:f>
        <x:v>0.15638467871485945</x:v>
      </x:c>
      <x:c r="C10" s="17" t="str">
        <x:v>A</x:v>
      </x:c>
      <x:c r="D10" s="17" t="n">
        <x:f>'Design Inputs'!$C$17-D9-'Design Inputs'!$C$18-'Design Inputs'!$C$21-'Design Inputs'!$C$19</x:f>
        <x:v>0.15638467871485945</x:v>
      </x:c>
      <x:c r="E10" s="17" t="n">
        <x:f>'Design Inputs'!$C$17-E9-'Design Inputs'!$C$18-'Design Inputs'!$C$21-'Design Inputs'!$C$19</x:f>
        <x:v>0.15638467871485945</x:v>
      </x:c>
      <x:c r="F10" s="17" t="n">
        <x:f>'Design Inputs'!$C$17-F9-'Design Inputs'!$C$18-'Design Inputs'!$C$21-'Design Inputs'!$C$19</x:f>
        <x:v>0.15638467871485945</x:v>
      </x:c>
    </x:row>
    <x:row r="12">
      <x:c r="A12" s="54" t="str">
        <x:v>PMOS / filter check</x:v>
      </x:c>
      <x:c r="B12" s="54" t="str">
        <x:v>Formula result</x:v>
      </x:c>
      <x:c r="C12" s="54" t="str">
        <x:v>Unit</x:v>
      </x:c>
      <x:c r="D12" s="54" t="str">
        <x:v>Mode 24</x:v>
      </x:c>
      <x:c r="E12" s="54" t="str">
        <x:v>Mode 33</x:v>
      </x:c>
      <x:c r="F12" s="54" t="str">
        <x:v>Mode 50</x:v>
      </x:c>
    </x:row>
    <x:row r="13">
      <x:c r="A13" s="34" t="str">
        <x:v>Assumed AO3401A RDS(on)</x:v>
      </x:c>
      <x:c r="B13" s="55" t="n">
        <x:v>0.07</x:v>
      </x:c>
      <x:c r="C13" s="55" t="str">
        <x:v>ohm</x:v>
      </x:c>
      <x:c r="D13" s="55" t="n">
        <x:v>0.07</x:v>
      </x:c>
      <x:c r="E13" s="55" t="n">
        <x:v>0.07</x:v>
      </x:c>
      <x:c r="F13" s="55" t="n">
        <x:v>0.07</x:v>
      </x:c>
    </x:row>
    <x:row r="14">
      <x:c r="A14" s="34" t="str">
        <x:v>Assumed host input current</x:v>
      </x:c>
      <x:c r="B14" s="55" t="n">
        <x:v>0.2</x:v>
      </x:c>
      <x:c r="C14" s="55" t="str">
        <x:v>A</x:v>
      </x:c>
      <x:c r="D14" s="55" t="n">
        <x:v>0.2</x:v>
      </x:c>
      <x:c r="E14" s="55" t="n">
        <x:v>0.2</x:v>
      </x:c>
      <x:c r="F14" s="55" t="n">
        <x:v>0.2</x:v>
      </x:c>
    </x:row>
    <x:row r="15">
      <x:c r="A15" s="34" t="str">
        <x:v>Estimated PMOS voltage drop</x:v>
      </x:c>
      <x:c r="B15" s="55" t="n">
        <x:f>B13*B14</x:f>
        <x:v>0.014000000000000002</x:v>
      </x:c>
      <x:c r="C15" s="55" t="str">
        <x:v>V</x:v>
      </x:c>
      <x:c r="D15" s="55" t="n">
        <x:f>D13*D14</x:f>
        <x:v>0.014000000000000002</x:v>
      </x:c>
      <x:c r="E15" s="55" t="n">
        <x:f>E13*E14</x:f>
        <x:v>0.014000000000000002</x:v>
      </x:c>
      <x:c r="F15" s="55" t="n">
        <x:f>F13*F14</x:f>
        <x:v>0.014000000000000002</x:v>
      </x:c>
    </x:row>
  </x:sheetData>
  <x:pageMargins left="0.7" right="0.7" top="0.75" bottom="0.75" header="0.3" footer="0.3"/>
  <x:tableParts count="1">
    <x:tablePart xmlns:r="http://schemas.openxmlformats.org/officeDocument/2006/relationships" r:id="Re76d58c58442478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4" hidden="0" customWidth="1"/>
    <x:col min="5" max="5" width="30" hidden="0" customWidth="1"/>
  </x:cols>
  <x:sheetData>
    <x:row r="1">
      <x:c r="A1" s="27" t="str">
        <x:v>Mode</x:v>
      </x:c>
      <x:c r="B1" s="27" t="str">
        <x:v>Target output FS</x:v>
      </x:c>
      <x:c r="C1" s="27" t="str">
        <x:v>Nominal gain</x:v>
      </x:c>
      <x:c r="D1" s="27" t="str">
        <x:v>Nominal R2</x:v>
      </x:c>
      <x:c r="E1" s="27" t="str">
        <x:v>Typical use</x:v>
      </x:c>
    </x:row>
    <x:row r="2">
      <x:c r="A2" s="17" t="str">
        <x:v>MODE 24</x:v>
      </x:c>
      <x:c r="B2" s="17" t="n">
        <x:v>2.4</x:v>
      </x:c>
      <x:c r="C2" s="17" t="n">
        <x:v>0.48</x:v>
      </x:c>
      <x:c r="D2" s="17" t="n">
        <x:v>80600</x:v>
      </x:c>
      <x:c r="E2" s="17" t="str">
        <x:v>ESP32-safe / sensitive 3.3 V ADC</x:v>
      </x:c>
    </x:row>
    <x:row r="3">
      <x:c r="A3" s="17" t="str">
        <x:v>MODE 33</x:v>
      </x:c>
      <x:c r="B3" s="17" t="n">
        <x:v>3</x:v>
      </x:c>
      <x:c r="C3" s="17" t="n">
        <x:v>0.6</x:v>
      </x:c>
      <x:c r="D3" s="17" t="n">
        <x:v>101000</x:v>
      </x:c>
      <x:c r="E3" s="17" t="str">
        <x:v>Generic 3.3 V MCU ADC</x:v>
      </x:c>
    </x:row>
    <x:row r="4">
      <x:c r="A4" s="17" t="str">
        <x:v>MODE 50</x:v>
      </x:c>
      <x:c r="B4" s="17" t="n">
        <x:v>4.5</x:v>
      </x:c>
      <x:c r="C4" s="17" t="n">
        <x:v>0.9</x:v>
      </x:c>
      <x:c r="D4" s="17" t="n">
        <x:v>151800</x:v>
      </x:c>
      <x:c r="E4" s="17" t="str">
        <x:v>5 V ADC / Arduino / PLC analog input</x:v>
      </x:c>
    </x:row>
  </x:sheetData>
  <x:pageMargins left="0.7" right="0.7" top="0.75" bottom="0.75" header="0.3" footer="0.3"/>
  <x:tableParts count="1">
    <x:tablePart xmlns:r="http://schemas.openxmlformats.org/officeDocument/2006/relationships" r:id="R7069a11b4b0143e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8" hidden="0" customWidth="1"/>
    <x:col min="4" max="4" width="28" hidden="0" customWidth="1"/>
    <x:col min="5" max="5" width="28" hidden="0" customWidth="1"/>
    <x:col min="6" max="6" width="12" hidden="0" customWidth="1"/>
    <x:col min="7" max="7" width="38" hidden="0" customWidth="1"/>
  </x:cols>
  <x:sheetData>
    <x:row r="1">
      <x:c r="A1" s="20" t="str">
        <x:v>Item</x:v>
      </x:c>
      <x:c r="B1" s="20" t="str">
        <x:v>RefDes</x:v>
      </x:c>
      <x:c r="C1" s="20" t="str">
        <x:v>Qty</x:v>
      </x:c>
      <x:c r="D1" s="20" t="str">
        <x:v>Description</x:v>
      </x:c>
      <x:c r="E1" s="20" t="str">
        <x:v>Preferred part/value</x:v>
      </x:c>
      <x:c r="F1" s="20" t="str">
        <x:v>Status</x:v>
      </x:c>
      <x:c r="G1" s="20" t="str">
        <x:v>Note</x:v>
      </x:c>
    </x:row>
    <x:row r="2">
      <x:c r="A2" s="17" t="n">
        <x:v>1</x:v>
      </x:c>
      <x:c r="B2" s="17" t="str">
        <x:v>U3</x:v>
      </x:c>
      <x:c r="C2" s="17" t="n">
        <x:v>1</x:v>
      </x:c>
      <x:c r="D2" s="17" t="str">
        <x:v>Analog optocoupler</x:v>
      </x:c>
      <x:c r="E2" s="17" t="str">
        <x:v>Broadcom HCNR201-500E — C27465</x:v>
      </x:c>
      <x:c r="F2" s="17" t="str">
        <x:v>Required</x:v>
      </x:c>
      <x:c r="G2" s="17" t="str">
        <x:v>Core analog isolator</x:v>
      </x:c>
    </x:row>
    <x:row r="3">
      <x:c r="A3" s="17" t="n">
        <x:v>2</x:v>
      </x:c>
      <x:c r="B3" s="17" t="str">
        <x:v>U1,U2</x:v>
      </x:c>
      <x:c r="C3" s="17" t="n">
        <x:v>2</x:v>
      </x:c>
      <x:c r="D3" s="17" t="str">
        <x:v>Precision RRIO zero-drift op-amp</x:v>
      </x:c>
      <x:c r="E3" s="17" t="str">
        <x:v>TI OPA317IDBVR — C2058367</x:v>
      </x:c>
      <x:c r="F3" s="17" t="str">
        <x:v>Required</x:v>
      </x:c>
      <x:c r="G3" s="17" t="str">
        <x:v>Preferred cost/performance part</x:v>
      </x:c>
    </x:row>
    <x:row r="4">
      <x:c r="A4" s="17" t="n">
        <x:v>3</x:v>
      </x:c>
      <x:c r="B4" s="17" t="str">
        <x:v>PS1</x:v>
      </x:c>
      <x:c r="C4" s="17" t="n">
        <x:v>1</x:v>
      </x:c>
      <x:c r="D4" s="17" t="str">
        <x:v>Regulated isolated DC/DC</x:v>
      </x:c>
      <x:c r="E4" s="17" t="str">
        <x:v>YLPTEC IF0505S-1WR3 — C5369637</x:v>
      </x:c>
      <x:c r="F4" s="17" t="str">
        <x:v>Required</x:v>
      </x:c>
      <x:c r="G4" s="17" t="str">
        <x:v>5 V to regulated isolated 5 V</x:v>
      </x:c>
    </x:row>
    <x:row r="5">
      <x:c r="A5" s="17" t="n">
        <x:v>4</x:v>
      </x:c>
      <x:c r="B5" s="17" t="str">
        <x:v>SW1</x:v>
      </x:c>
      <x:c r="C5" s="17" t="n">
        <x:v>1</x:v>
      </x:c>
      <x:c r="D5" s="17" t="str">
        <x:v>3-position selector</x:v>
      </x:c>
      <x:c r="E5" s="17" t="str">
        <x:v>SHOU HAN SK13D07VG5 — C393948</x:v>
      </x:c>
      <x:c r="F5" s="17" t="str">
        <x:v>Required</x:v>
      </x:c>
      <x:c r="G5" s="17" t="str">
        <x:v>SP3T mutually exclusive mode selection</x:v>
      </x:c>
    </x:row>
    <x:row r="6">
      <x:c r="A6" s="17" t="n">
        <x:v>5</x:v>
      </x:c>
      <x:c r="B6" s="17" t="str">
        <x:v>RPROT</x:v>
      </x:c>
      <x:c r="C6" s="17" t="n">
        <x:v>1</x:v>
      </x:c>
      <x:c r="D6" s="17" t="str">
        <x:v>Input protection resistor</x:v>
      </x:c>
      <x:c r="E6" s="17" t="str">
        <x:v>UNI-ROYAL 0603WAF4701T5E — C23162</x:v>
      </x:c>
      <x:c r="F6" s="17" t="str">
        <x:v>Required</x:v>
      </x:c>
      <x:c r="G6" s="17" t="str">
        <x:v>4.7 kΩ, 1%</x:v>
      </x:c>
    </x:row>
    <x:row r="7">
      <x:c r="A7" s="17" t="n">
        <x:v>6</x:v>
      </x:c>
      <x:c r="B7" s="17" t="str">
        <x:v>R1B</x:v>
      </x:c>
      <x:c r="C7" s="17" t="n">
        <x:v>1</x:v>
      </x:c>
      <x:c r="D7" s="17" t="str">
        <x:v>Precision input resistor</x:v>
      </x:c>
      <x:c r="E7" s="17" t="str">
        <x:v>Stackpole RNCF0805BKE164K — C4010785</x:v>
      </x:c>
      <x:c r="F7" s="17" t="str">
        <x:v>Required</x:v>
      </x:c>
      <x:c r="G7" s="17" t="str">
        <x:v>164 kΩ, 0.1% thin-film</x:v>
      </x:c>
    </x:row>
    <x:row r="8">
      <x:c r="A8" s="17" t="n">
        <x:v>7</x:v>
      </x:c>
      <x:c r="B8" s="17" t="str">
        <x:v>RLED</x:v>
      </x:c>
      <x:c r="C8" s="17" t="n">
        <x:v>1</x:v>
      </x:c>
      <x:c r="D8" s="17" t="str">
        <x:v>LED current limit</x:v>
      </x:c>
      <x:c r="E8" s="17" t="str">
        <x:v>UNI-ROYAL 0603WAF2200T5E — C22962</x:v>
      </x:c>
      <x:c r="F8" s="17" t="str">
        <x:v>Required</x:v>
      </x:c>
      <x:c r="G8" s="17" t="str">
        <x:v>220 Ω, 1%</x:v>
      </x:c>
    </x:row>
    <x:row r="9">
      <x:c r="A9" s="17" t="n">
        <x:v>8</x:v>
      </x:c>
      <x:c r="B9" s="17" t="str">
        <x:v>R24</x:v>
      </x:c>
      <x:c r="C9" s="17" t="n">
        <x:v>1</x:v>
      </x:c>
      <x:c r="D9" s="17" t="str">
        <x:v>Mode 24 feedback</x:v>
      </x:c>
      <x:c r="E9" s="17" t="str">
        <x:v>RESI PTFR0805B80K6P9 — C2849352</x:v>
      </x:c>
      <x:c r="F9" s="17" t="str">
        <x:v>Required</x:v>
      </x:c>
      <x:c r="G9" s="17" t="str">
        <x:v>80.6 kΩ, 0.1%</x:v>
      </x:c>
    </x:row>
    <x:row r="10">
      <x:c r="A10" s="17" t="n">
        <x:v>9</x:v>
      </x:c>
      <x:c r="B10" s="17" t="str">
        <x:v>R33</x:v>
      </x:c>
      <x:c r="C10" s="17" t="n">
        <x:v>1</x:v>
      </x:c>
      <x:c r="D10" s="17" t="str">
        <x:v>Mode 33 feedback</x:v>
      </x:c>
      <x:c r="E10" s="17" t="str">
        <x:v>KOA RN73R2ATTD1013B25 — C4150121</x:v>
      </x:c>
      <x:c r="F10" s="17" t="str">
        <x:v>Required</x:v>
      </x:c>
      <x:c r="G10" s="17" t="str">
        <x:v>101 kΩ, 0.1%</x:v>
      </x:c>
    </x:row>
    <x:row r="11">
      <x:c r="A11" s="17" t="n">
        <x:v>10</x:v>
      </x:c>
      <x:c r="B11" s="17" t="str">
        <x:v>R50A,R50B</x:v>
      </x:c>
      <x:c r="C11" s="17" t="n">
        <x:v>2</x:v>
      </x:c>
      <x:c r="D11" s="17" t="str">
        <x:v>Mode 50 feedback</x:v>
      </x:c>
      <x:c r="E11" s="17" t="str">
        <x:v>150 kΩ C136927 + 1.8 kΩ C513603</x:v>
      </x:c>
      <x:c r="F11" s="17" t="str">
        <x:v>Required</x:v>
      </x:c>
      <x:c r="G11" s="17" t="str">
        <x:v>Series total 151.8 kΩ</x:v>
      </x:c>
    </x:row>
    <x:row r="12">
      <x:c r="A12" s="17" t="n">
        <x:v>11</x:v>
      </x:c>
      <x:c r="B12" s="17" t="str">
        <x:v>CC1</x:v>
      </x:c>
      <x:c r="C12" s="17" t="n">
        <x:v>1</x:v>
      </x:c>
      <x:c r="D12" s="17" t="str">
        <x:v>Input compensation</x:v>
      </x:c>
      <x:c r="E12" s="17" t="str">
        <x:v>YAGEO CC0603JRNPO9BN102 — C106246</x:v>
      </x:c>
      <x:c r="F12" s="17" t="str">
        <x:v>Required</x:v>
      </x:c>
      <x:c r="G12" s="17" t="str">
        <x:v>1 nF NP0/C0G</x:v>
      </x:c>
    </x:row>
    <x:row r="13">
      <x:c r="A13" s="17" t="n">
        <x:v>12</x:v>
      </x:c>
      <x:c r="B13" s="17" t="str">
        <x:v>CC2</x:v>
      </x:c>
      <x:c r="C13" s="17" t="n">
        <x:v>1</x:v>
      </x:c>
      <x:c r="D13" s="17" t="str">
        <x:v>Output compensation</x:v>
      </x:c>
      <x:c r="E13" s="17" t="str">
        <x:v>Murata GCM1885C1J222JA16J — C17596087</x:v>
      </x:c>
      <x:c r="F13" s="17" t="str">
        <x:v>Required</x:v>
      </x:c>
      <x:c r="G13" s="17" t="str">
        <x:v>2.2 nF C0G</x:v>
      </x:c>
    </x:row>
    <x:row r="14">
      <x:c r="A14" s="17" t="n">
        <x:v>13</x:v>
      </x:c>
      <x:c r="B14" s="17" t="str">
        <x:v>CIN,COUT,CDEC</x:v>
      </x:c>
      <x:c r="C14" s="17" t="n">
        <x:v>6</x:v>
      </x:c>
      <x:c r="D14" s="17" t="str">
        <x:v>100 nF bypass/filter</x:v>
      </x:c>
      <x:c r="E14" s="17" t="str">
        <x:v>Samsung CL10B104KB8NNNC — C1591</x:v>
      </x:c>
      <x:c r="F14" s="17" t="str">
        <x:v>Required</x:v>
      </x:c>
      <x:c r="G14" s="17" t="str">
        <x:v>100 nF X7R</x:v>
      </x:c>
    </x:row>
    <x:row r="15">
      <x:c r="A15" s="17" t="n">
        <x:v>14</x:v>
      </x:c>
      <x:c r="B15" s="17" t="str">
        <x:v>ROUT</x:v>
      </x:c>
      <x:c r="C15" s="17" t="n">
        <x:v>1</x:v>
      </x:c>
      <x:c r="D15" s="17" t="str">
        <x:v>Output series resistor</x:v>
      </x:c>
      <x:c r="E15" s="17" t="str">
        <x:v>YAGEO RC0603FR-071KL — C22548</x:v>
      </x:c>
      <x:c r="F15" s="17" t="str">
        <x:v>Required</x:v>
      </x:c>
      <x:c r="G15" s="17" t="str">
        <x:v>1 kΩ, 1%</x:v>
      </x:c>
    </x:row>
    <x:row r="16">
      <x:c r="A16" s="17" t="n">
        <x:v>15</x:v>
      </x:c>
      <x:c r="B16" s="17" t="str">
        <x:v>CBULK</x:v>
      </x:c>
      <x:c r="C16" s="17" t="n">
        <x:v>2</x:v>
      </x:c>
      <x:c r="D16" s="17" t="str">
        <x:v>Bulk decoupling</x:v>
      </x:c>
      <x:c r="E16" s="17" t="str">
        <x:v>Samsung CL21A106KAYNNNE — C15850</x:v>
      </x:c>
      <x:c r="F16" s="17" t="str">
        <x:v>Required</x:v>
      </x:c>
      <x:c r="G16" s="17" t="str">
        <x:v>10 µF, 25 V</x:v>
      </x:c>
    </x:row>
    <x:row r="17">
      <x:c r="A17" s="17" t="n">
        <x:v>16</x:v>
      </x:c>
      <x:c r="B17" s="17" t="str">
        <x:v>RPL1</x:v>
      </x:c>
      <x:c r="C17" s="17" t="n">
        <x:v>1</x:v>
      </x:c>
      <x:c r="D17" s="17" t="str">
        <x:v>Preload resistor</x:v>
      </x:c>
      <x:c r="E17" s="17" t="str">
        <x:v>UNI-ROYAL 1206W4F2490T5E - C17959</x:v>
      </x:c>
      <x:c r="F17" s="17" t="str">
        <x:v>Conditional</x:v>
      </x:c>
      <x:c r="G17" s="17" t="str">
        <x:v>249 Ω, 0.25 W; DNP if load guaranteed</x:v>
      </x:c>
    </x:row>
    <x:row r="18">
      <x:c r="A18" s="17" t="n">
        <x:v>17</x:v>
      </x:c>
      <x:c r="B18" s="17" t="str">
        <x:v>Q1,RG</x:v>
      </x:c>
      <x:c r="C18" s="17" t="n">
        <x:v>2</x:v>
      </x:c>
      <x:c r="D18" s="17" t="str">
        <x:v>Reverse-polarity protection</x:v>
      </x:c>
      <x:c r="E18" s="17" t="str">
        <x:v>UMW AO3401A C347476 + 100 kΩ resistor</x:v>
      </x:c>
      <x:c r="F18" s="17" t="str">
        <x:v>Required</x:v>
      </x:c>
      <x:c r="G18" s="17" t="str">
        <x:v>Drain to 5V_IN, source to protected rail, gate pull-down</x:v>
      </x:c>
    </x:row>
    <x:row r="19">
      <x:c r="A19" s="17" t="n">
        <x:v>18</x:v>
      </x:c>
      <x:c r="B19" s="17" t="str">
        <x:v>FB1</x:v>
      </x:c>
      <x:c r="C19" s="17" t="n">
        <x:v>1</x:v>
      </x:c>
      <x:c r="D19" s="17" t="str">
        <x:v>Ferrite bead</x:v>
      </x:c>
      <x:c r="E19" s="17" t="str">
        <x:v>Murata BLM18AG601SN1D - C19330</x:v>
      </x:c>
      <x:c r="F19" s="17" t="str">
        <x:v>Required</x:v>
      </x:c>
      <x:c r="G19" s="17" t="str">
        <x:v>600 Ω @100 MHz, 500 mA; 0 Ω only for validation</x:v>
      </x:c>
    </x:row>
  </x:sheetData>
  <x:pageMargins left="0.7" right="0.7" top="0.75" bottom="0.75" header="0.3" footer="0.3"/>
  <x:tableParts count="1">
    <x:tablePart xmlns:r="http://schemas.openxmlformats.org/officeDocument/2006/relationships" r:id="R8db955b4d86c4f5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7" hidden="0" customWidth="1"/>
    <x:col min="4" max="4" width="30" hidden="0" customWidth="1"/>
    <x:col min="5" max="5" width="24" hidden="0" customWidth="1"/>
    <x:col min="6" max="6" width="28" hidden="0" customWidth="1"/>
    <x:col min="7" max="7" width="14" hidden="0" customWidth="1"/>
    <x:col min="8" max="8" width="21" hidden="0" customWidth="1"/>
    <x:col min="9" max="9" width="29" hidden="0" customWidth="1"/>
    <x:col min="10" max="10" width="16" hidden="0" customWidth="1"/>
    <x:col min="11" max="11" width="28" hidden="0" customWidth="1"/>
    <x:col min="12" max="12" width="22" hidden="0" customWidth="1"/>
    <x:col min="13" max="13" width="15" hidden="0" customWidth="1"/>
    <x:col min="14" max="14" width="48" hidden="0" customWidth="1"/>
    <x:col min="15" max="15" width="48" hidden="0" customWidth="1"/>
  </x:cols>
  <x:sheetData>
    <x:row r="1">
      <x:c r="A1" s="43" t="str">
        <x:v>Item</x:v>
      </x:c>
      <x:c r="B1" s="43" t="str">
        <x:v>RefDes</x:v>
      </x:c>
      <x:c r="C1" s="43" t="str">
        <x:v>Qty</x:v>
      </x:c>
      <x:c r="D1" s="43" t="str">
        <x:v>Function</x:v>
      </x:c>
      <x:c r="E1" s="43" t="str">
        <x:v>Manufacturer</x:v>
      </x:c>
      <x:c r="F1" s="43" t="str">
        <x:v>MPN</x:v>
      </x:c>
      <x:c r="G1" s="43" t="str">
        <x:v>LCSC Part #</x:v>
      </x:c>
      <x:c r="H1" s="43" t="str">
        <x:v>Package</x:v>
      </x:c>
      <x:c r="I1" s="43" t="str">
        <x:v>Value / Rating</x:v>
      </x:c>
      <x:c r="J1" s="43" t="str">
        <x:v>Fit</x:v>
      </x:c>
      <x:c r="K1" s="43" t="str">
        <x:v>Availability note</x:v>
      </x:c>
      <x:c r="L1" s="43" t="str">
        <x:v>Alternate</x:v>
      </x:c>
      <x:c r="M1" s="43" t="str">
        <x:v>Alternate LCSC</x:v>
      </x:c>
      <x:c r="N1" s="43" t="str">
        <x:v>Source URL</x:v>
      </x:c>
      <x:c r="O1" s="43" t="str">
        <x:v>Engineering note</x:v>
      </x:c>
    </x:row>
    <x:row r="2">
      <x:c r="A2" s="36" t="n">
        <x:v>1</x:v>
      </x:c>
      <x:c r="B2" s="36" t="str">
        <x:v>U3</x:v>
      </x:c>
      <x:c r="C2" s="36" t="n">
        <x:v>1</x:v>
      </x:c>
      <x:c r="D2" s="36" t="str">
        <x:v>High-linearity analog optocoupler</x:v>
      </x:c>
      <x:c r="E2" s="36" t="str">
        <x:v>Broadcom</x:v>
      </x:c>
      <x:c r="F2" s="36" t="str">
        <x:v>HCNR201-500E</x:v>
      </x:c>
      <x:c r="G2" s="36" t="str">
        <x:v>C27465</x:v>
      </x:c>
      <x:c r="H2" s="36" t="str">
        <x:v>SOP-8 wide body</x:v>
      </x:c>
      <x:c r="I2" s="36" t="str">
        <x:v>K3 ±5% class</x:v>
      </x:c>
      <x:c r="J2" s="36" t="str">
        <x:v>Required</x:v>
      </x:c>
      <x:c r="K2" s="36" t="str">
        <x:v>Listing verified 2026-07-15</x:v>
      </x:c>
      <x:c r="L2" s="36" t="str"/>
      <x:c r="M2" s="36" t="str"/>
      <x:c r="N2" s="36" t="str">
        <x:v>https://www.lcsc.com/product-detail/C27465.html</x:v>
      </x:c>
      <x:c r="O2" s="36" t="str">
        <x:v>Confirm exact footprint and isolation courtyard.</x:v>
      </x:c>
    </x:row>
    <x:row r="3">
      <x:c r="A3" s="36" t="n">
        <x:v>2</x:v>
      </x:c>
      <x:c r="B3" s="36" t="str">
        <x:v>U1,U2</x:v>
      </x:c>
      <x:c r="C3" s="36" t="n">
        <x:v>2</x:v>
      </x:c>
      <x:c r="D3" s="36" t="str">
        <x:v>Precision single op-amp</x:v>
      </x:c>
      <x:c r="E3" s="36" t="str">
        <x:v>Texas Instruments</x:v>
      </x:c>
      <x:c r="F3" s="36" t="str">
        <x:v>OPA317IDBVR</x:v>
      </x:c>
      <x:c r="G3" s="36" t="str">
        <x:v>C2058367</x:v>
      </x:c>
      <x:c r="H3" s="36" t="str">
        <x:v>SOT-23-5</x:v>
      </x:c>
      <x:c r="I3" s="36" t="str">
        <x:v>1.8–5.5 V, RRIO, zero-drift</x:v>
      </x:c>
      <x:c r="J3" s="36" t="str">
        <x:v>Required</x:v>
      </x:c>
      <x:c r="K3" s="36" t="str">
        <x:v>Listing verified 2026-07-15</x:v>
      </x:c>
      <x:c r="L3" s="36" t="str">
        <x:v>TLV9001IDBVR</x:v>
      </x:c>
      <x:c r="M3" s="36" t="str">
        <x:v>C398363</x:v>
      </x:c>
      <x:c r="N3" s="36" t="str">
        <x:v>https://www.lcsc.com/product-detail/C2058367.html</x:v>
      </x:c>
      <x:c r="O3" s="36" t="str">
        <x:v>Preferred cost/performance choice; revalidate loop compensation.</x:v>
      </x:c>
    </x:row>
    <x:row r="4">
      <x:c r="A4" s="36" t="n">
        <x:v>3</x:v>
      </x:c>
      <x:c r="B4" s="36" t="str">
        <x:v>PS1</x:v>
      </x:c>
      <x:c r="C4" s="36" t="n">
        <x:v>1</x:v>
      </x:c>
      <x:c r="D4" s="36" t="str">
        <x:v>Regulated isolated DC/DC</x:v>
      </x:c>
      <x:c r="E4" s="36" t="str">
        <x:v>YLPTEC</x:v>
      </x:c>
      <x:c r="F4" s="36" t="str">
        <x:v>IF0505S-1WR3</x:v>
      </x:c>
      <x:c r="G4" s="36" t="str">
        <x:v>C5369637</x:v>
      </x:c>
      <x:c r="H4" s="36" t="str">
        <x:v>SIP 19.5×6 mm</x:v>
      </x:c>
      <x:c r="I4" s="36" t="str">
        <x:v>5 V in, 5 V/200 mA out, 3 kVDC test</x:v>
      </x:c>
      <x:c r="J4" s="36" t="str">
        <x:v>Required</x:v>
      </x:c>
      <x:c r="K4" s="36" t="str">
        <x:v>Listing verified 2026-07-15</x:v>
      </x:c>
      <x:c r="L4" s="36" t="str"/>
      <x:c r="M4" s="36" t="str"/>
      <x:c r="N4" s="36" t="str">
        <x:v>https://www.lcsc.com/product-detail/C5369637.html</x:v>
      </x:c>
      <x:c r="O4" s="36" t="str">
        <x:v>Minimum-load requirement applies.</x:v>
      </x:c>
    </x:row>
    <x:row r="5">
      <x:c r="A5" s="36" t="n">
        <x:v>4</x:v>
      </x:c>
      <x:c r="B5" s="36" t="str">
        <x:v>SW1</x:v>
      </x:c>
      <x:c r="C5" s="36" t="n">
        <x:v>1</x:v>
      </x:c>
      <x:c r="D5" s="36" t="str">
        <x:v>Output mode selector</x:v>
      </x:c>
      <x:c r="E5" s="36" t="str">
        <x:v>SHOU HAN</x:v>
      </x:c>
      <x:c r="F5" s="36" t="str">
        <x:v>SK13D07VG5</x:v>
      </x:c>
      <x:c r="G5" s="36" t="str">
        <x:v>C393948</x:v>
      </x:c>
      <x:c r="H5" s="36" t="str">
        <x:v>THT right-angle</x:v>
      </x:c>
      <x:c r="I5" s="36" t="str">
        <x:v>SP3T, 3 positions</x:v>
      </x:c>
      <x:c r="J5" s="36" t="str">
        <x:v>Required</x:v>
      </x:c>
      <x:c r="K5" s="36" t="str">
        <x:v>Listing verified 2026-07-15</x:v>
      </x:c>
      <x:c r="L5" s="36" t="str"/>
      <x:c r="M5" s="36" t="str"/>
      <x:c r="N5" s="36" t="str">
        <x:v>https://www.lcsc.com/product-detail/C393948.html</x:v>
      </x:c>
      <x:c r="O5" s="36" t="str">
        <x:v>Verify common pin and mechanical orientation.</x:v>
      </x:c>
    </x:row>
    <x:row r="6">
      <x:c r="A6" s="36" t="n">
        <x:v>5</x:v>
      </x:c>
      <x:c r="B6" s="36" t="str">
        <x:v>RPROT</x:v>
      </x:c>
      <x:c r="C6" s="36" t="n">
        <x:v>1</x:v>
      </x:c>
      <x:c r="D6" s="36" t="str">
        <x:v>Input protection resistor</x:v>
      </x:c>
      <x:c r="E6" s="36" t="str">
        <x:v>UNI-ROYAL</x:v>
      </x:c>
      <x:c r="F6" s="36" t="str">
        <x:v>0603WAF4701T5E</x:v>
      </x:c>
      <x:c r="G6" s="36" t="str">
        <x:v>C23162</x:v>
      </x:c>
      <x:c r="H6" s="36" t="str">
        <x:v>0603</x:v>
      </x:c>
      <x:c r="I6" s="36" t="str">
        <x:v>4.7 kΩ, 1%, 100 mW</x:v>
      </x:c>
      <x:c r="J6" s="36" t="str">
        <x:v>Required</x:v>
      </x:c>
      <x:c r="K6" s="36" t="str">
        <x:v>Listing verified; stock may be zero</x:v>
      </x:c>
      <x:c r="L6" s="36" t="str">
        <x:v>RC0603FR-074K7L</x:v>
      </x:c>
      <x:c r="M6" s="36" t="str">
        <x:v>C99782</x:v>
      </x:c>
      <x:c r="N6" s="36" t="str">
        <x:v>https://www.lcsc.com/product-detail/C23162.html</x:v>
      </x:c>
      <x:c r="O6" s="36" t="str">
        <x:v>Generic reputable equivalent acceptable.</x:v>
      </x:c>
    </x:row>
    <x:row r="7">
      <x:c r="A7" s="36" t="n">
        <x:v>6</x:v>
      </x:c>
      <x:c r="B7" s="36" t="str">
        <x:v>R1B</x:v>
      </x:c>
      <x:c r="C7" s="36" t="n">
        <x:v>1</x:v>
      </x:c>
      <x:c r="D7" s="36" t="str">
        <x:v>Precision input gain resistor</x:v>
      </x:c>
      <x:c r="E7" s="36" t="str">
        <x:v>Stackpole</x:v>
      </x:c>
      <x:c r="F7" s="36" t="str">
        <x:v>RNCF0805BKE164K</x:v>
      </x:c>
      <x:c r="G7" s="36" t="str">
        <x:v>C4010785</x:v>
      </x:c>
      <x:c r="H7" s="36" t="str">
        <x:v>0805</x:v>
      </x:c>
      <x:c r="I7" s="36" t="str">
        <x:v>164 kΩ, 0.1%, ±25 ppm/°C</x:v>
      </x:c>
      <x:c r="J7" s="36" t="str">
        <x:v>Required</x:v>
      </x:c>
      <x:c r="K7" s="36" t="str">
        <x:v>Listing verified 2026-07-15</x:v>
      </x:c>
      <x:c r="L7" s="36" t="str"/>
      <x:c r="M7" s="36" t="str"/>
      <x:c r="N7" s="36" t="str">
        <x:v>https://www.lcsc.com/product-detail/C4010785.html</x:v>
      </x:c>
      <x:c r="O7" s="36" t="str">
        <x:v>Thin-film required.</x:v>
      </x:c>
    </x:row>
    <x:row r="8">
      <x:c r="A8" s="36" t="n">
        <x:v>7</x:v>
      </x:c>
      <x:c r="B8" s="36" t="str">
        <x:v>RLED</x:v>
      </x:c>
      <x:c r="C8" s="36" t="n">
        <x:v>1</x:v>
      </x:c>
      <x:c r="D8" s="36" t="str">
        <x:v>LED current limiter</x:v>
      </x:c>
      <x:c r="E8" s="36" t="str">
        <x:v>UNI-ROYAL</x:v>
      </x:c>
      <x:c r="F8" s="36" t="str">
        <x:v>0603WAF2200T5E</x:v>
      </x:c>
      <x:c r="G8" s="36" t="str">
        <x:v>C22962</x:v>
      </x:c>
      <x:c r="H8" s="36" t="str">
        <x:v>0603</x:v>
      </x:c>
      <x:c r="I8" s="36" t="str">
        <x:v>220 Ω, 1%, 100 mW</x:v>
      </x:c>
      <x:c r="J8" s="36" t="str">
        <x:v>Required</x:v>
      </x:c>
      <x:c r="K8" s="36" t="str">
        <x:v>Listing verified; stock may be zero</x:v>
      </x:c>
      <x:c r="L8" s="36" t="str">
        <x:v>RC0603FR-07220RL</x:v>
      </x:c>
      <x:c r="M8" s="36" t="str">
        <x:v>C107696</x:v>
      </x:c>
      <x:c r="N8" s="36" t="str">
        <x:v>https://www.lcsc.com/product-detail/C22962.html</x:v>
      </x:c>
      <x:c r="O8" s="36" t="str">
        <x:v>Generic reputable equivalent acceptable.</x:v>
      </x:c>
    </x:row>
    <x:row r="9">
      <x:c r="A9" s="36" t="n">
        <x:v>8</x:v>
      </x:c>
      <x:c r="B9" s="36" t="str">
        <x:v>R24</x:v>
      </x:c>
      <x:c r="C9" s="36" t="n">
        <x:v>1</x:v>
      </x:c>
      <x:c r="D9" s="36" t="str">
        <x:v>MODE 24 feedback</x:v>
      </x:c>
      <x:c r="E9" s="36" t="str">
        <x:v>RESI</x:v>
      </x:c>
      <x:c r="F9" s="36" t="str">
        <x:v>PTFR0805B80K6P9</x:v>
      </x:c>
      <x:c r="G9" s="36" t="str">
        <x:v>C2849352</x:v>
      </x:c>
      <x:c r="H9" s="36" t="str">
        <x:v>0805</x:v>
      </x:c>
      <x:c r="I9" s="36" t="str">
        <x:v>80.6 kΩ, 0.1% thin-film</x:v>
      </x:c>
      <x:c r="J9" s="36" t="str">
        <x:v>Required</x:v>
      </x:c>
      <x:c r="K9" s="36" t="str">
        <x:v>Listing verified 2026-07-15</x:v>
      </x:c>
      <x:c r="L9" s="36" t="str"/>
      <x:c r="M9" s="36" t="str"/>
      <x:c r="N9" s="36" t="str">
        <x:v>https://www.lcsc.com/product-detail/C2849352.html</x:v>
      </x:c>
      <x:c r="O9" s="36" t="str">
        <x:v>2.4 V nominal full scale.</x:v>
      </x:c>
    </x:row>
    <x:row r="10">
      <x:c r="A10" s="36" t="n">
        <x:v>9</x:v>
      </x:c>
      <x:c r="B10" s="36" t="str">
        <x:v>R33</x:v>
      </x:c>
      <x:c r="C10" s="36" t="n">
        <x:v>1</x:v>
      </x:c>
      <x:c r="D10" s="36" t="str">
        <x:v>MODE 33 feedback</x:v>
      </x:c>
      <x:c r="E10" s="36" t="str">
        <x:v>KOA Speer</x:v>
      </x:c>
      <x:c r="F10" s="36" t="str">
        <x:v>RN73R2ATTD1013B25</x:v>
      </x:c>
      <x:c r="G10" s="36" t="str">
        <x:v>C4150121</x:v>
      </x:c>
      <x:c r="H10" s="36" t="str">
        <x:v>0805</x:v>
      </x:c>
      <x:c r="I10" s="36" t="str">
        <x:v>101 kΩ, 0.1%, ±25 ppm/°C</x:v>
      </x:c>
      <x:c r="J10" s="36" t="str">
        <x:v>Required</x:v>
      </x:c>
      <x:c r="K10" s="36" t="str">
        <x:v>Listing verified 2026-07-15</x:v>
      </x:c>
      <x:c r="L10" s="36" t="str"/>
      <x:c r="M10" s="36" t="str"/>
      <x:c r="N10" s="36" t="str">
        <x:v>https://www.lcsc.com/product-detail/C4150121.html</x:v>
      </x:c>
      <x:c r="O10" s="36" t="str">
        <x:v>3.0 V nominal full scale.</x:v>
      </x:c>
    </x:row>
    <x:row r="11">
      <x:c r="A11" s="36" t="n">
        <x:v>10</x:v>
      </x:c>
      <x:c r="B11" s="36" t="str">
        <x:v>R50A</x:v>
      </x:c>
      <x:c r="C11" s="36" t="n">
        <x:v>1</x:v>
      </x:c>
      <x:c r="D11" s="36" t="str">
        <x:v>MODE 50 feedback coarse</x:v>
      </x:c>
      <x:c r="E11" s="36" t="str">
        <x:v>Yageo</x:v>
      </x:c>
      <x:c r="F11" s="36" t="str">
        <x:v>RT0805BRD07150KL</x:v>
      </x:c>
      <x:c r="G11" s="36" t="str">
        <x:v>C136927</x:v>
      </x:c>
      <x:c r="H11" s="36" t="str">
        <x:v>0805</x:v>
      </x:c>
      <x:c r="I11" s="36" t="str">
        <x:v>150 kΩ, 0.1% thin-film</x:v>
      </x:c>
      <x:c r="J11" s="36" t="str">
        <x:v>Required</x:v>
      </x:c>
      <x:c r="K11" s="36" t="str">
        <x:v>Listing verified 2026-07-15</x:v>
      </x:c>
      <x:c r="L11" s="36" t="str"/>
      <x:c r="M11" s="36" t="str"/>
      <x:c r="N11" s="36" t="str">
        <x:v>https://www.lcsc.com/product-detail/C136927.html</x:v>
      </x:c>
      <x:c r="O11" s="36" t="str">
        <x:v>Series with R50B.</x:v>
      </x:c>
    </x:row>
    <x:row r="12">
      <x:c r="A12" s="36" t="n">
        <x:v>11</x:v>
      </x:c>
      <x:c r="B12" s="36" t="str">
        <x:v>R50B</x:v>
      </x:c>
      <x:c r="C12" s="36" t="n">
        <x:v>1</x:v>
      </x:c>
      <x:c r="D12" s="36" t="str">
        <x:v>MODE 50 feedback fine</x:v>
      </x:c>
      <x:c r="E12" s="36" t="str">
        <x:v>Yageo</x:v>
      </x:c>
      <x:c r="F12" s="36" t="str">
        <x:v>RT0805BRE071K8L</x:v>
      </x:c>
      <x:c r="G12" s="36" t="str">
        <x:v>C513603</x:v>
      </x:c>
      <x:c r="H12" s="36" t="str">
        <x:v>0805</x:v>
      </x:c>
      <x:c r="I12" s="36" t="str">
        <x:v>1.8 kΩ, 0.1% thin-film</x:v>
      </x:c>
      <x:c r="J12" s="36" t="str">
        <x:v>Required</x:v>
      </x:c>
      <x:c r="K12" s="36" t="str">
        <x:v>Listing verified 2026-07-15</x:v>
      </x:c>
      <x:c r="L12" s="36" t="str"/>
      <x:c r="M12" s="36" t="str"/>
      <x:c r="N12" s="36" t="str">
        <x:v>https://www.lcsc.com/product-detail/C513603.html</x:v>
      </x:c>
      <x:c r="O12" s="36" t="str">
        <x:v>R50 total = 151.8 kΩ.</x:v>
      </x:c>
    </x:row>
    <x:row r="13">
      <x:c r="A13" s="36" t="n">
        <x:v>12</x:v>
      </x:c>
      <x:c r="B13" s="36" t="str">
        <x:v>CC1</x:v>
      </x:c>
      <x:c r="C13" s="36" t="n">
        <x:v>1</x:v>
      </x:c>
      <x:c r="D13" s="36" t="str">
        <x:v>Input-loop compensation</x:v>
      </x:c>
      <x:c r="E13" s="36" t="str">
        <x:v>Yageo</x:v>
      </x:c>
      <x:c r="F13" s="36" t="str">
        <x:v>CC0603JRNPO9BN102</x:v>
      </x:c>
      <x:c r="G13" s="36" t="str">
        <x:v>C106246</x:v>
      </x:c>
      <x:c r="H13" s="36" t="str">
        <x:v>0603</x:v>
      </x:c>
      <x:c r="I13" s="36" t="str">
        <x:v>1 nF NP0/C0G, 50 V</x:v>
      </x:c>
      <x:c r="J13" s="36" t="str">
        <x:v>Required</x:v>
      </x:c>
      <x:c r="K13" s="36" t="str">
        <x:v>In-stock listing observed</x:v>
      </x:c>
      <x:c r="L13" s="36" t="str"/>
      <x:c r="M13" s="36" t="str"/>
      <x:c r="N13" s="36" t="str">
        <x:v>https://www.lcsc.com/product-detail/C106246.html</x:v>
      </x:c>
      <x:c r="O13" s="36" t="str">
        <x:v>Starting value; tune after step test.</x:v>
      </x:c>
    </x:row>
    <x:row r="14">
      <x:c r="A14" s="36" t="n">
        <x:v>13</x:v>
      </x:c>
      <x:c r="B14" s="36" t="str">
        <x:v>CC2</x:v>
      </x:c>
      <x:c r="C14" s="36" t="n">
        <x:v>1</x:v>
      </x:c>
      <x:c r="D14" s="36" t="str">
        <x:v>Output-loop compensation</x:v>
      </x:c>
      <x:c r="E14" s="36" t="str">
        <x:v>Murata</x:v>
      </x:c>
      <x:c r="F14" s="36" t="str">
        <x:v>GCM1885C1J222JA16J</x:v>
      </x:c>
      <x:c r="G14" s="36" t="str">
        <x:v>C17596087</x:v>
      </x:c>
      <x:c r="H14" s="36" t="str">
        <x:v>0603</x:v>
      </x:c>
      <x:c r="I14" s="36" t="str">
        <x:v>2.2 nF C0G, 63 V</x:v>
      </x:c>
      <x:c r="J14" s="36" t="str">
        <x:v>Required</x:v>
      </x:c>
      <x:c r="K14" s="36" t="str">
        <x:v>Listing verified; stock may be zero</x:v>
      </x:c>
      <x:c r="L14" s="36" t="str">
        <x:v>0603J0160222JCT</x:v>
      </x:c>
      <x:c r="M14" s="36" t="str">
        <x:v>C2282079</x:v>
      </x:c>
      <x:c r="N14" s="36" t="str">
        <x:v>https://www.lcsc.com/product-detail/C17596087.html</x:v>
      </x:c>
      <x:c r="O14" s="36" t="str">
        <x:v>Keep alternate C0G footprint option.</x:v>
      </x:c>
    </x:row>
    <x:row r="15">
      <x:c r="A15" s="36" t="n">
        <x:v>14</x:v>
      </x:c>
      <x:c r="B15" s="36" t="str">
        <x:v>CIN,COUT,CDEC1-CDEC4</x:v>
      </x:c>
      <x:c r="C15" s="36" t="n">
        <x:v>6</x:v>
      </x:c>
      <x:c r="D15" s="36" t="str">
        <x:v>100 nF filter/decoupling</x:v>
      </x:c>
      <x:c r="E15" s="36" t="str">
        <x:v>Samsung Electro-Mechanics</x:v>
      </x:c>
      <x:c r="F15" s="36" t="str">
        <x:v>CL10B104KB8NNNC</x:v>
      </x:c>
      <x:c r="G15" s="36" t="str">
        <x:v>C1591</x:v>
      </x:c>
      <x:c r="H15" s="36" t="str">
        <x:v>0603</x:v>
      </x:c>
      <x:c r="I15" s="36" t="str">
        <x:v>100 nF X7R, 50 V</x:v>
      </x:c>
      <x:c r="J15" s="36" t="str">
        <x:v>Required</x:v>
      </x:c>
      <x:c r="K15" s="36" t="str">
        <x:v>Listing verified 2026-07-15</x:v>
      </x:c>
      <x:c r="L15" s="36" t="str"/>
      <x:c r="M15" s="36" t="str"/>
      <x:c r="N15" s="36" t="str">
        <x:v>https://www.lcsc.com/product-detail/C1591.html</x:v>
      </x:c>
      <x:c r="O15" s="36" t="str">
        <x:v>Place decouplers close to devices.</x:v>
      </x:c>
    </x:row>
    <x:row r="16">
      <x:c r="A16" s="36" t="n">
        <x:v>15</x:v>
      </x:c>
      <x:c r="B16" s="36" t="str">
        <x:v>CIN_BULK</x:v>
      </x:c>
      <x:c r="C16" s="36" t="n">
        <x:v>1</x:v>
      </x:c>
      <x:c r="D16" s="36" t="str">
        <x:v>DC/DC input bulk</x:v>
      </x:c>
      <x:c r="E16" s="36" t="str">
        <x:v>Samsung Electro-Mechanics</x:v>
      </x:c>
      <x:c r="F16" s="36" t="str">
        <x:v>CL10A475KP8NNNC</x:v>
      </x:c>
      <x:c r="G16" s="36" t="str">
        <x:v>C1705</x:v>
      </x:c>
      <x:c r="H16" s="36" t="str">
        <x:v>0603</x:v>
      </x:c>
      <x:c r="I16" s="36" t="str">
        <x:v>4.7 µF X5R, 10 V</x:v>
      </x:c>
      <x:c r="J16" s="36" t="str">
        <x:v>Required</x:v>
      </x:c>
      <x:c r="K16" s="36" t="str">
        <x:v>In-stock listing observed</x:v>
      </x:c>
      <x:c r="L16" s="36" t="str"/>
      <x:c r="M16" s="36" t="str"/>
      <x:c r="N16" s="36" t="str">
        <x:v>https://www.lcsc.com/product-detail/C1705.html</x:v>
      </x:c>
      <x:c r="O16" s="36" t="str">
        <x:v>Check effective capacitance at 5 V bias.</x:v>
      </x:c>
    </x:row>
    <x:row r="17">
      <x:c r="A17" s="36" t="n">
        <x:v>16</x:v>
      </x:c>
      <x:c r="B17" s="36" t="str">
        <x:v>CISO_BULK</x:v>
      </x:c>
      <x:c r="C17" s="36" t="n">
        <x:v>1</x:v>
      </x:c>
      <x:c r="D17" s="36" t="str">
        <x:v>DC/DC output bulk</x:v>
      </x:c>
      <x:c r="E17" s="36" t="str">
        <x:v>Samsung Electro-Mechanics</x:v>
      </x:c>
      <x:c r="F17" s="36" t="str">
        <x:v>CL21A106KAYNNNE</x:v>
      </x:c>
      <x:c r="G17" s="36" t="str">
        <x:v>C15850</x:v>
      </x:c>
      <x:c r="H17" s="36" t="str">
        <x:v>0805</x:v>
      </x:c>
      <x:c r="I17" s="36" t="str">
        <x:v>10 µF X5R, 25 V</x:v>
      </x:c>
      <x:c r="J17" s="36" t="str">
        <x:v>Required</x:v>
      </x:c>
      <x:c r="K17" s="36" t="str">
        <x:v>Listing verified; stock may be zero</x:v>
      </x:c>
      <x:c r="L17" s="36" t="str"/>
      <x:c r="M17" s="36" t="str"/>
      <x:c r="N17" s="36" t="str">
        <x:v>https://www.lcsc.com/product-detail/C15850.html</x:v>
      </x:c>
      <x:c r="O17" s="36" t="str">
        <x:v>Use equivalent after DC-bias validation.</x:v>
      </x:c>
    </x:row>
    <x:row r="18">
      <x:c r="A18" s="36" t="n">
        <x:v>17</x:v>
      </x:c>
      <x:c r="B18" s="36" t="str">
        <x:v>ROUT</x:v>
      </x:c>
      <x:c r="C18" s="36" t="n">
        <x:v>1</x:v>
      </x:c>
      <x:c r="D18" s="36" t="str">
        <x:v>Output series resistor</x:v>
      </x:c>
      <x:c r="E18" s="36" t="str">
        <x:v>Yageo</x:v>
      </x:c>
      <x:c r="F18" s="36" t="str">
        <x:v>RC0603FR-071KL</x:v>
      </x:c>
      <x:c r="G18" s="36" t="str">
        <x:v>C22548</x:v>
      </x:c>
      <x:c r="H18" s="36" t="str">
        <x:v>0603</x:v>
      </x:c>
      <x:c r="I18" s="36" t="str">
        <x:v>1 kΩ, 1%, 100 mW</x:v>
      </x:c>
      <x:c r="J18" s="36" t="str">
        <x:v>Required</x:v>
      </x:c>
      <x:c r="K18" s="36" t="str">
        <x:v>Listing verified; stock may be zero</x:v>
      </x:c>
      <x:c r="L18" s="36" t="str"/>
      <x:c r="M18" s="36" t="str"/>
      <x:c r="N18" s="36" t="str">
        <x:v>https://www.lcsc.com/product-detail/C22548.html</x:v>
      </x:c>
      <x:c r="O18" s="36" t="str">
        <x:v>Host-specific clamps remain on host board.</x:v>
      </x:c>
    </x:row>
    <x:row r="19">
      <x:c r="A19" s="36" t="n">
        <x:v>18</x:v>
      </x:c>
      <x:c r="B19" s="36" t="str">
        <x:v>RPL1</x:v>
      </x:c>
      <x:c r="C19" s="36" t="n">
        <x:v>1</x:v>
      </x:c>
      <x:c r="D19" s="36" t="str">
        <x:v>Isolated supply preload</x:v>
      </x:c>
      <x:c r="E19" s="36" t="str">
        <x:v>UNI-ROYAL</x:v>
      </x:c>
      <x:c r="F19" s="36" t="str">
        <x:v>1206W4F2490T5E</x:v>
      </x:c>
      <x:c r="G19" s="36" t="str">
        <x:v>C17959</x:v>
      </x:c>
      <x:c r="H19" s="36" t="str">
        <x:v>1206</x:v>
      </x:c>
      <x:c r="I19" s="36" t="str">
        <x:v>249 Ω, 1%, 0.25 W</x:v>
      </x:c>
      <x:c r="J19" s="36" t="str">
        <x:v>DNP/Conditional</x:v>
      </x:c>
      <x:c r="K19" s="36" t="str">
        <x:v>Listing verified 2026-07-15</x:v>
      </x:c>
      <x:c r="L19" s="36" t="str"/>
      <x:c r="M19" s="36" t="str"/>
      <x:c r="N19" s="36" t="str">
        <x:v>https://www.lcsc.com/product-detail/C17959.html</x:v>
      </x:c>
      <x:c r="O19" s="36" t="str">
        <x:v>Fit only if minimum load is not guaranteed.</x:v>
      </x:c>
    </x:row>
    <x:row r="20">
      <x:c r="A20" s="36" t="n">
        <x:v>19</x:v>
      </x:c>
      <x:c r="B20" s="36" t="str">
        <x:v>DCL1,DCL2</x:v>
      </x:c>
      <x:c r="C20" s="36" t="n">
        <x:v>2</x:v>
      </x:c>
      <x:c r="D20" s="36" t="str">
        <x:v>Low-leakage clamps</x:v>
      </x:c>
      <x:c r="E20" s="36" t="str">
        <x:v>Nexperia</x:v>
      </x:c>
      <x:c r="F20" s="36" t="str">
        <x:v>BAV199,215</x:v>
      </x:c>
      <x:c r="G20" s="36" t="str">
        <x:v>C40919</x:v>
      </x:c>
      <x:c r="H20" s="36" t="str">
        <x:v>SOT-23</x:v>
      </x:c>
      <x:c r="I20" s="36" t="str">
        <x:v>Dual low-leakage diode</x:v>
      </x:c>
      <x:c r="J20" s="36" t="str">
        <x:v>Recommended</x:v>
      </x:c>
      <x:c r="K20" s="36" t="str">
        <x:v>Listing verified 2026-07-15</x:v>
      </x:c>
      <x:c r="L20" s="36" t="str">
        <x:v>BAV199</x:v>
      </x:c>
      <x:c r="M20" s="36" t="str">
        <x:v>C7461107</x:v>
      </x:c>
      <x:c r="N20" s="36" t="str">
        <x:v>https://www.lcsc.com/product-detail/C40919.html</x:v>
      </x:c>
      <x:c r="O20" s="36" t="str">
        <x:v>Validate leakage across temperature.</x:v>
      </x:c>
    </x:row>
    <x:row r="21">
      <x:c r="A21" s="36" t="n">
        <x:v>20</x:v>
      </x:c>
      <x:c r="B21" s="36" t="str">
        <x:v>DLED</x:v>
      </x:c>
      <x:c r="C21" s="36" t="n">
        <x:v>1</x:v>
      </x:c>
      <x:c r="D21" s="36" t="str">
        <x:v>LED reverse protection</x:v>
      </x:c>
      <x:c r="E21" s="36" t="str">
        <x:v>ST(Semtech)</x:v>
      </x:c>
      <x:c r="F21" s="36" t="str">
        <x:v>1N4148WS</x:v>
      </x:c>
      <x:c r="G21" s="36" t="str">
        <x:v>C57759</x:v>
      </x:c>
      <x:c r="H21" s="36" t="str">
        <x:v>SOD-323</x:v>
      </x:c>
      <x:c r="I21" s="36" t="str">
        <x:v>Fast switching diode</x:v>
      </x:c>
      <x:c r="J21" s="36" t="str">
        <x:v>Recommended</x:v>
      </x:c>
      <x:c r="K21" s="36" t="str">
        <x:v>Listing verified 2026-07-15</x:v>
      </x:c>
      <x:c r="L21" s="36" t="str">
        <x:v>1N4148WS-7-F</x:v>
      </x:c>
      <x:c r="M21" s="36" t="str">
        <x:v>C60580</x:v>
      </x:c>
      <x:c r="N21" s="36" t="str">
        <x:v>https://www.lcsc.com/product-detail/C57759.html</x:v>
      </x:c>
      <x:c r="O21" s="36" t="str">
        <x:v>Install anti-parallel to HCNR LED.</x:v>
      </x:c>
    </x:row>
    <x:row r="22">
      <x:c r="A22" s="36" t="n">
        <x:v>21</x:v>
      </x:c>
      <x:c r="B22" s="36" t="str">
        <x:v>RG</x:v>
      </x:c>
      <x:c r="C22" s="36" t="n">
        <x:v>1</x:v>
      </x:c>
      <x:c r="D22" s="36" t="str">
        <x:v>PMOS gate pull-down resistor</x:v>
      </x:c>
      <x:c r="E22" s="36" t="str">
        <x:v>UNI-ROYAL</x:v>
      </x:c>
      <x:c r="F22" s="36" t="str">
        <x:v>0603WAF1003T5E</x:v>
      </x:c>
      <x:c r="G22" s="36" t="str">
        <x:v>C25803</x:v>
      </x:c>
      <x:c r="H22" s="36" t="str">
        <x:v>0603</x:v>
      </x:c>
      <x:c r="I22" s="36" t="str">
        <x:v>100 kΩ, 1%, 100 mW</x:v>
      </x:c>
      <x:c r="J22" s="36" t="str">
        <x:v>Required</x:v>
      </x:c>
      <x:c r="K22" s="36" t="str">
        <x:v>Standard stocked value; recheck before ordering</x:v>
      </x:c>
      <x:c r="L22" s="36" t="str"/>
      <x:c r="M22" s="36" t="str"/>
      <x:c r="N22" s="36" t="str">
        <x:v>https://www.lcsc.com/product-detail/C25803.html</x:v>
      </x:c>
      <x:c r="O22" s="36" t="str">
        <x:v>Connect AO3401A gate to GND_HOST. Place close to Q1.</x:v>
      </x:c>
    </x:row>
    <x:row r="23">
      <x:c r="A23" s="36" t="n">
        <x:v>22</x:v>
      </x:c>
      <x:c r="B23" s="36" t="str">
        <x:v>Q1</x:v>
      </x:c>
      <x:c r="C23" s="36" t="n">
        <x:v>1</x:v>
      </x:c>
      <x:c r="D23" s="36" t="str">
        <x:v>Reverse-polarity P-channel MOSFET</x:v>
      </x:c>
      <x:c r="E23" s="36" t="str">
        <x:v>UMW</x:v>
      </x:c>
      <x:c r="F23" s="36" t="str">
        <x:v>AO3401A</x:v>
      </x:c>
      <x:c r="G23" s="36" t="str">
        <x:v>C347476</x:v>
      </x:c>
      <x:c r="H23" s="36" t="str">
        <x:v>SOT-23</x:v>
      </x:c>
      <x:c r="I23" s="36" t="str">
        <x:v>P-channel MOSFET</x:v>
      </x:c>
      <x:c r="J23" s="36" t="str">
        <x:v>Required</x:v>
      </x:c>
      <x:c r="K23" s="36" t="str">
        <x:v>Listing verified 2026-07-15</x:v>
      </x:c>
      <x:c r="L23" s="36" t="str"/>
      <x:c r="M23" s="36" t="str"/>
      <x:c r="N23" s="36" t="str">
        <x:v>https://www.lcsc.com/product-detail/C347476.html</x:v>
      </x:c>
      <x:c r="O23" s="36" t="str">
        <x:v>Pin 3 drain -&gt; 5V_IN; pin 2 source -&gt; protected rail; pin 1 gate -&gt; RG.</x:v>
      </x:c>
    </x:row>
    <x:row r="24">
      <x:c r="A24" s="36" t="n">
        <x:v>23</x:v>
      </x:c>
      <x:c r="B24" s="36" t="str">
        <x:v>-</x:v>
      </x:c>
      <x:c r="C24" s="36" t="n">
        <x:v>0</x:v>
      </x:c>
      <x:c r="D24" s="36" t="str">
        <x:v>Input TVS</x:v>
      </x:c>
      <x:c r="E24" s="36" t="str">
        <x:v>-</x:v>
      </x:c>
      <x:c r="F24" s="36" t="str">
        <x:v>-</x:v>
      </x:c>
      <x:c r="G24" s="36" t="str">
        <x:v>-</x:v>
      </x:c>
      <x:c r="H24" s="36" t="str">
        <x:v>-</x:v>
      </x:c>
      <x:c r="I24" s="36" t="str">
        <x:v>Not fitted in Rev B2</x:v>
      </x:c>
      <x:c r="J24" s="36" t="str">
        <x:v>Removed Rev B2</x:v>
      </x:c>
      <x:c r="K24" s="36" t="str">
        <x:v>No on-board TVS; system-level protection may be added externally</x:v>
      </x:c>
      <x:c r="L24" s="36" t="str"/>
      <x:c r="M24" s="36" t="str"/>
      <x:c r="N24" s="36" t="str"/>
      <x:c r="O24" s="36" t="str">
        <x:v>PPTC and TVS are intentionally omitted from the Rev B2 production design.</x:v>
      </x:c>
    </x:row>
    <x:row r="25">
      <x:c r="A25" s="36" t="n">
        <x:v>24</x:v>
      </x:c>
      <x:c r="B25" s="36" t="str">
        <x:v>FB1</x:v>
      </x:c>
      <x:c r="C25" s="36" t="n">
        <x:v>1</x:v>
      </x:c>
      <x:c r="D25" s="36" t="str">
        <x:v>Host-rail ferrite bead</x:v>
      </x:c>
      <x:c r="E25" s="36" t="str">
        <x:v>Murata</x:v>
      </x:c>
      <x:c r="F25" s="36" t="str">
        <x:v>BLM18AG601SN1D</x:v>
      </x:c>
      <x:c r="G25" s="36" t="str">
        <x:v>C19330</x:v>
      </x:c>
      <x:c r="H25" s="36" t="str">
        <x:v>0603</x:v>
      </x:c>
      <x:c r="I25" s="36" t="str">
        <x:v>600 Ω @ 100 MHz, 500 mA</x:v>
      </x:c>
      <x:c r="J25" s="36" t="str">
        <x:v>Required</x:v>
      </x:c>
      <x:c r="K25" s="36" t="str">
        <x:v>Listing verified 2026-07-15</x:v>
      </x:c>
      <x:c r="L25" s="36" t="str">
        <x:v>0 Ω validation link</x:v>
      </x:c>
      <x:c r="M25" s="36" t="str"/>
      <x:c r="N25" s="36" t="str">
        <x:v>https://www.lcsc.com/product-detail/C19330.html</x:v>
      </x:c>
      <x:c r="O25" s="36" t="str">
        <x:v>Place after Q1 and before PS1 input capacitors. Use 0 Ω only for validation.</x:v>
      </x:c>
    </x:row>
    <x:row r="26">
      <x:c r="A26" s="36" t="n">
        <x:v>25</x:v>
      </x:c>
      <x:c r="B26" s="36" t="str">
        <x:v>J1,J2</x:v>
      </x:c>
      <x:c r="C26" s="36" t="n">
        <x:v>2</x:v>
      </x:c>
      <x:c r="D26" s="36" t="str">
        <x:v>3-position terminal block</x:v>
      </x:c>
      <x:c r="E26" s="36" t="str">
        <x:v>Cixi Kefa</x:v>
      </x:c>
      <x:c r="F26" s="36" t="str">
        <x:v>KF301-5.0-3P</x:v>
      </x:c>
      <x:c r="G26" s="36" t="str">
        <x:v>C474882</x:v>
      </x:c>
      <x:c r="H26" s="36" t="str">
        <x:v>THT 5.0 mm</x:v>
      </x:c>
      <x:c r="I26" s="36" t="str">
        <x:v>3 positions</x:v>
      </x:c>
      <x:c r="J26" s="36" t="str">
        <x:v>Required</x:v>
      </x:c>
      <x:c r="K26" s="36" t="str">
        <x:v>Listing verified 2026-07-15</x:v>
      </x:c>
      <x:c r="L26" s="36" t="str"/>
      <x:c r="M26" s="36" t="str"/>
      <x:c r="N26" s="36" t="str">
        <x:v>https://www.lcsc.com/product-detail/C474882.html</x:v>
      </x:c>
      <x:c r="O26" s="36" t="str">
        <x:v>Clear silkscreen and polarity labeling required.</x:v>
      </x:c>
    </x:row>
  </x:sheetData>
  <x:conditionalFormatting sqref="J2:J26">
    <x:cfRule type="expression" dxfId="0" priority="1">
      <x:formula>J2="Required"</x:formula>
    </x:cfRule>
    <x:cfRule type="expression" dxfId="1" priority="2">
      <x:formula>OR(J2="Recommended",J2="Optional")</x:formula>
    </x:cfRule>
    <x:cfRule type="expression" dxfId="2" priority="3">
      <x:formula>J2="DNP/Conditional"</x:formula>
    </x:cfRule>
  </x:conditionalFormatting>
  <x:conditionalFormatting sqref="K2:K26">
    <x:cfRule type="expression" dxfId="3" priority="4">
      <x:formula>ISNUMBER(SEARCH("zero",K2))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4a4b73fc6a472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44" t="str">
        <x:v>Topic</x:v>
      </x:c>
      <x:c r="B1" s="44" t="str">
        <x:v>Decision / requirement</x:v>
      </x:c>
    </x:row>
    <x:row r="2">
      <x:c r="A2" s="36" t="str">
        <x:v>Preferred op-amp</x:v>
      </x:c>
      <x:c r="B2" s="36" t="str">
        <x:v>OPA317IDBVR (C2058367). TLV9001IDBVR (C398363) is a cost-down alternate requiring full validation.</x:v>
      </x:c>
    </x:row>
    <x:row r="3">
      <x:c r="A3" s="36" t="str">
        <x:v>Isolated converter</x:v>
      </x:c>
      <x:c r="B3" s="36" t="str">
        <x:v>YLPTEC IF0505S-1WR3 (C5369637), regulated 5 V. Keep RPL1 as DNP option.</x:v>
      </x:c>
    </x:row>
    <x:row r="4">
      <x:c r="A4" s="36" t="str">
        <x:v>MODE 50</x:v>
      </x:c>
      <x:c r="B4" s="36" t="str">
        <x:v>Implemented as 150 kΩ + 1.8 kΩ series because 151.8 kΩ precision parts are less common.</x:v>
      </x:c>
    </x:row>
    <x:row r="5">
      <x:c r="A5" s="36" t="str">
        <x:v>Stock warning</x:v>
      </x:c>
      <x:c r="B5" s="36" t="str">
        <x:v>Stock and price are dynamic; this is a part-identification snapshot, not a purchasing guarantee.</x:v>
      </x:c>
    </x:row>
    <x:row r="6">
      <x:c r="A6" s="36" t="str">
        <x:v>Footprints</x:v>
      </x:c>
      <x:c r="B6" s="36" t="str">
        <x:v>Check manufacturer mechanical drawings before PCB release, especially U3, PS1, SW1, Q1, D1 and J1/J2.</x:v>
      </x:c>
    </x:row>
    <x:row r="7">
      <x:c r="A7" s="36" t="str">
        <x:v>Qualification</x:v>
      </x:c>
      <x:c r="B7" s="36" t="str">
        <x:v>Validate YLPTEC and Asian-brand protection parts by incoming inspection and batch testing.</x:v>
      </x:c>
    </x:row>
    <x:row r="8">
      <x:c r="A8" s="36" t="str">
        <x:v>Calibration</x:v>
      </x:c>
      <x:c r="B8" s="36" t="str">
        <x:v>Fixed resistors plus two-point software calibration remain the recommended production method.</x:v>
      </x:c>
    </x:row>
    <x:row r="9">
      <x:c r="A9" s="51" t="str">
        <x:v>Rev B2 protection chain</x:v>
      </x:c>
      <x:c r="B9" s="35" t="str">
        <x:v>5V_IN -&gt; AO3401A -&gt; FB1 -&gt; IF0505S. RG = 100 kΩ pulls the gate to GND_HOST.</x:v>
      </x:c>
    </x:row>
    <x:row r="10">
      <x:c r="A10" s="51" t="str">
        <x:v>Removed components</x:v>
      </x:c>
      <x:c r="B10" s="35" t="str">
        <x:v>The on-board PPTC and input TVS are not fitted in Rev B2.</x:v>
      </x:c>
    </x:row>
    <x:row r="11">
      <x:c r="A11" s="51" t="str">
        <x:v>Power-source assumption</x:v>
      </x:c>
      <x:c r="B11" s="35" t="str">
        <x:v>Use a regulated 5 V source with upstream current limiting. Rev B2 is intended for short/internal supply wiring or system-level surge protection.</x:v>
      </x:c>
    </x:row>
    <x:row r="12">
      <x:c r="A12" s="51" t="str">
        <x:v>FB1 assembly</x:v>
      </x:c>
      <x:c r="B12" s="35" t="str">
        <x:v>FB1 is fitted in production. A 0 Ω alternative is allowed only during validation and noise comparison.</x:v>
      </x:c>
    </x:row>
  </x:sheetData>
  <x:pageMargins left="0.7" right="0.7" top="0.75" bottom="0.75" header="0.3" footer="0.3"/>
</x:worksheet>
</file>